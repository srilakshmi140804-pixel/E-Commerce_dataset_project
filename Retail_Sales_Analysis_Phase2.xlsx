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RILU\Downloads\"/>
    </mc:Choice>
  </mc:AlternateContent>
  <bookViews>
    <workbookView xWindow="0" yWindow="0" windowWidth="23040" windowHeight="9072" activeTab="1"/>
  </bookViews>
  <sheets>
    <sheet name="Retail_Sales_Dataset" sheetId="1" r:id="rId1"/>
    <sheet name="Data cleaning &amp; sales analysis" sheetId="2" r:id="rId2"/>
    <sheet name="Dashboard" sheetId="3" r:id="rId3"/>
  </sheets>
  <definedNames>
    <definedName name="Slicer_Category">#N/A</definedName>
    <definedName name="Slicer_Product">#N/A</definedName>
    <definedName name="Slicer_Region">#N/A</definedName>
  </definedNames>
  <calcPr calcId="0"/>
  <pivotCaches>
    <pivotCache cacheId="5" r:id="rId4"/>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3" l="1"/>
  <c r="D3" i="3"/>
  <c r="B3" i="3"/>
  <c r="B15" i="2"/>
  <c r="B14" i="2"/>
  <c r="B13" i="2"/>
  <c r="B12" i="2"/>
  <c r="L3" i="1"/>
  <c r="L2" i="1"/>
</calcChain>
</file>

<file path=xl/sharedStrings.xml><?xml version="1.0" encoding="utf-8"?>
<sst xmlns="http://schemas.openxmlformats.org/spreadsheetml/2006/main" count="701" uniqueCount="59">
  <si>
    <t>Order_ID</t>
  </si>
  <si>
    <t>Order_Date</t>
  </si>
  <si>
    <t>Product</t>
  </si>
  <si>
    <t>Category</t>
  </si>
  <si>
    <t>Region</t>
  </si>
  <si>
    <t>Quantity</t>
  </si>
  <si>
    <t>Unit_Price</t>
  </si>
  <si>
    <t>Sales</t>
  </si>
  <si>
    <t>Printer</t>
  </si>
  <si>
    <t>Office</t>
  </si>
  <si>
    <t>South</t>
  </si>
  <si>
    <t>Headphones</t>
  </si>
  <si>
    <t>Electronics</t>
  </si>
  <si>
    <t>North</t>
  </si>
  <si>
    <t>Monitor</t>
  </si>
  <si>
    <t>West</t>
  </si>
  <si>
    <t>Laptop</t>
  </si>
  <si>
    <t>East</t>
  </si>
  <si>
    <t>Keyboard</t>
  </si>
  <si>
    <t>Accessories</t>
  </si>
  <si>
    <t>Mouse</t>
  </si>
  <si>
    <t>Total Orders</t>
  </si>
  <si>
    <t>Total Sales</t>
  </si>
  <si>
    <t>Row Labels</t>
  </si>
  <si>
    <t>Grand Total</t>
  </si>
  <si>
    <t>Total Products</t>
  </si>
  <si>
    <t>Total categories</t>
  </si>
  <si>
    <t>Total Regions</t>
  </si>
  <si>
    <t xml:space="preserve">check </t>
  </si>
  <si>
    <t>Result</t>
  </si>
  <si>
    <t>missing values</t>
  </si>
  <si>
    <t>dupicate records</t>
  </si>
  <si>
    <t>date format verified</t>
  </si>
  <si>
    <t>invalid sales values</t>
  </si>
  <si>
    <t>none</t>
  </si>
  <si>
    <t>yes</t>
  </si>
  <si>
    <t>Data Cleaning</t>
  </si>
  <si>
    <t>Sales analysis</t>
  </si>
  <si>
    <t>Metric</t>
  </si>
  <si>
    <t>Value</t>
  </si>
  <si>
    <t>Total sales</t>
  </si>
  <si>
    <t>average sales</t>
  </si>
  <si>
    <t>highest sale</t>
  </si>
  <si>
    <t>lowest sale</t>
  </si>
  <si>
    <t>Avg order value</t>
  </si>
  <si>
    <t>Sum of Sales</t>
  </si>
  <si>
    <t>Top Product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</si>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</sst>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16" fillId="0" borderId="10" xfId="0" applyFont="1" applyBorder="1"/>
    <xf numFmtId="0" fontId="0" fillId="0" borderId="11" xfId="0" applyBorder="1"/>
    <xf numFmtId="0" fontId="0" fillId="0" borderId="0" xfId="0" applyNumberFormat="1"/>
    <xf numFmtId="0" fontId="0" fillId="0" borderId="11"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[Retail_Sales_Analysis_Phase2.xlsx]Dashboard!PivotTable6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Dashboard!$L$12</c:f>
              <c:strCache>
                <c:ptCount val="1"/>
                <c:pt idx="0">
                  <c:v>Total</c:v>
                </c:pt>
              </c:strCache>
            </c:strRef>
          </c:tx>
          <c:spPr>
            <a:ln w="28575" cap="rnd">
              <a:solidFill>
                <a:schemeClr val="accent1"/>
              </a:solidFill>
              <a:round/>
            </a:ln>
            <a:effectLst/>
          </c:spPr>
          <c:marker>
            <c:symbol val="none"/>
          </c:marker>
          <c:cat>
            <c:strRef>
              <c:f>Dashboard!$K$13:$K$25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Dashboard!$L$13:$L$25</c:f>
              <c:numCache>
                <c:formatCode>General</c:formatCode>
                <c:ptCount val="12"/>
                <c:pt idx="0">
                  <c:v>97510</c:v>
                </c:pt>
                <c:pt idx="1">
                  <c:v>95936</c:v>
                </c:pt>
                <c:pt idx="2">
                  <c:v>290585</c:v>
                </c:pt>
                <c:pt idx="3">
                  <c:v>80047</c:v>
                </c:pt>
                <c:pt idx="4">
                  <c:v>248084</c:v>
                </c:pt>
                <c:pt idx="5">
                  <c:v>161809</c:v>
                </c:pt>
                <c:pt idx="6">
                  <c:v>115746</c:v>
                </c:pt>
                <c:pt idx="7">
                  <c:v>125515</c:v>
                </c:pt>
                <c:pt idx="8">
                  <c:v>240008</c:v>
                </c:pt>
                <c:pt idx="9">
                  <c:v>154726</c:v>
                </c:pt>
                <c:pt idx="10">
                  <c:v>238491</c:v>
                </c:pt>
                <c:pt idx="11">
                  <c:v>314037</c:v>
                </c:pt>
              </c:numCache>
            </c:numRef>
          </c:val>
          <c:smooth val="0"/>
          <c:extLst>
            <c:ext xmlns:c16="http://schemas.microsoft.com/office/drawing/2014/chart" uri="{C3380CC4-5D6E-409C-BE32-E72D297353CC}">
              <c16:uniqueId val="{00000000-D468-407F-8DDC-C38C132AA650}"/>
            </c:ext>
          </c:extLst>
        </c:ser>
        <c:dLbls>
          <c:showLegendKey val="0"/>
          <c:showVal val="0"/>
          <c:showCatName val="0"/>
          <c:showSerName val="0"/>
          <c:showPercent val="0"/>
          <c:showBubbleSize val="0"/>
        </c:dLbls>
        <c:smooth val="0"/>
        <c:axId val="723792496"/>
        <c:axId val="723793808"/>
      </c:lineChart>
      <c:catAx>
        <c:axId val="72379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793808"/>
        <c:crosses val="autoZero"/>
        <c:auto val="1"/>
        <c:lblAlgn val="ctr"/>
        <c:lblOffset val="100"/>
        <c:noMultiLvlLbl val="0"/>
      </c:catAx>
      <c:valAx>
        <c:axId val="72379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792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[Retail_Sales_Analysis_Phase2.xlsx]Dashboard!PivotTable7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Region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Dashboard!$L$28</c:f>
              <c:strCache>
                <c:ptCount val="1"/>
                <c:pt idx="0">
                  <c:v>Total</c:v>
                </c:pt>
              </c:strCache>
            </c:strRef>
          </c:tx>
          <c:spPr>
            <a:solidFill>
              <a:schemeClr val="accent1"/>
            </a:solidFill>
            <a:ln>
              <a:noFill/>
            </a:ln>
            <a:effectLst/>
          </c:spPr>
          <c:invertIfNegative val="0"/>
          <c:cat>
            <c:strRef>
              <c:f>Dashboard!$K$29:$K$33</c:f>
              <c:strCache>
                <c:ptCount val="4"/>
                <c:pt idx="0">
                  <c:v>East</c:v>
                </c:pt>
                <c:pt idx="1">
                  <c:v>North</c:v>
                </c:pt>
                <c:pt idx="2">
                  <c:v>South</c:v>
                </c:pt>
                <c:pt idx="3">
                  <c:v>West</c:v>
                </c:pt>
              </c:strCache>
            </c:strRef>
          </c:cat>
          <c:val>
            <c:numRef>
              <c:f>Dashboard!$L$29:$L$33</c:f>
              <c:numCache>
                <c:formatCode>General</c:formatCode>
                <c:ptCount val="4"/>
                <c:pt idx="0">
                  <c:v>575939</c:v>
                </c:pt>
                <c:pt idx="1">
                  <c:v>555643</c:v>
                </c:pt>
                <c:pt idx="2">
                  <c:v>379277</c:v>
                </c:pt>
                <c:pt idx="3">
                  <c:v>651635</c:v>
                </c:pt>
              </c:numCache>
            </c:numRef>
          </c:val>
          <c:extLst>
            <c:ext xmlns:c16="http://schemas.microsoft.com/office/drawing/2014/chart" uri="{C3380CC4-5D6E-409C-BE32-E72D297353CC}">
              <c16:uniqueId val="{00000000-6FB9-4D24-B671-9C7CCED8C809}"/>
            </c:ext>
          </c:extLst>
        </c:ser>
        <c:dLbls>
          <c:showLegendKey val="0"/>
          <c:showVal val="0"/>
          <c:showCatName val="0"/>
          <c:showSerName val="0"/>
          <c:showPercent val="0"/>
          <c:showBubbleSize val="0"/>
        </c:dLbls>
        <c:gapWidth val="219"/>
        <c:overlap val="-27"/>
        <c:axId val="400747776"/>
        <c:axId val="400748432"/>
      </c:barChart>
      <c:catAx>
        <c:axId val="40074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748432"/>
        <c:crosses val="autoZero"/>
        <c:auto val="1"/>
        <c:lblAlgn val="ctr"/>
        <c:lblOffset val="100"/>
        <c:noMultiLvlLbl val="0"/>
      </c:catAx>
      <c:valAx>
        <c:axId val="40074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747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[Retail_Sales_Analysis_Phase2.xlsx]Dashboard!PivotTable8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Dashboard!$L$43</c:f>
              <c:strCache>
                <c:ptCount val="1"/>
                <c:pt idx="0">
                  <c:v>Total</c:v>
                </c:pt>
              </c:strCache>
            </c:strRef>
          </c:tx>
          <c:spPr>
            <a:solidFill>
              <a:schemeClr val="accent1"/>
            </a:solidFill>
            <a:ln>
              <a:noFill/>
            </a:ln>
            <a:effectLst/>
          </c:spPr>
          <c:invertIfNegative val="0"/>
          <c:cat>
            <c:strRef>
              <c:f>Dashboard!$K$44:$K$47</c:f>
              <c:strCache>
                <c:ptCount val="3"/>
                <c:pt idx="0">
                  <c:v>Accessories</c:v>
                </c:pt>
                <c:pt idx="1">
                  <c:v>Electronics</c:v>
                </c:pt>
                <c:pt idx="2">
                  <c:v>Office</c:v>
                </c:pt>
              </c:strCache>
            </c:strRef>
          </c:cat>
          <c:val>
            <c:numRef>
              <c:f>Dashboard!$L$44:$L$47</c:f>
              <c:numCache>
                <c:formatCode>General</c:formatCode>
                <c:ptCount val="3"/>
                <c:pt idx="0">
                  <c:v>771952</c:v>
                </c:pt>
                <c:pt idx="1">
                  <c:v>1113720</c:v>
                </c:pt>
                <c:pt idx="2">
                  <c:v>276822</c:v>
                </c:pt>
              </c:numCache>
            </c:numRef>
          </c:val>
          <c:extLst>
            <c:ext xmlns:c16="http://schemas.microsoft.com/office/drawing/2014/chart" uri="{C3380CC4-5D6E-409C-BE32-E72D297353CC}">
              <c16:uniqueId val="{00000000-3C84-477E-A613-01B4A1148356}"/>
            </c:ext>
          </c:extLst>
        </c:ser>
        <c:dLbls>
          <c:showLegendKey val="0"/>
          <c:showVal val="0"/>
          <c:showCatName val="0"/>
          <c:showSerName val="0"/>
          <c:showPercent val="0"/>
          <c:showBubbleSize val="0"/>
        </c:dLbls>
        <c:gapWidth val="219"/>
        <c:overlap val="-27"/>
        <c:axId val="750814592"/>
        <c:axId val="750815904"/>
      </c:barChart>
      <c:catAx>
        <c:axId val="75081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15904"/>
        <c:crosses val="autoZero"/>
        <c:auto val="1"/>
        <c:lblAlgn val="ctr"/>
        <c:lblOffset val="100"/>
        <c:noMultiLvlLbl val="0"/>
      </c:catAx>
      <c:valAx>
        <c:axId val="75081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14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[Retail_Sales_Analysis_Phase2.xlsx]Dashboard!PivotTable9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Dashboard!$L$59</c:f>
              <c:strCache>
                <c:ptCount val="1"/>
                <c:pt idx="0">
                  <c:v>Total</c:v>
                </c:pt>
              </c:strCache>
            </c:strRef>
          </c:tx>
          <c:spPr>
            <a:solidFill>
              <a:schemeClr val="accent1"/>
            </a:solidFill>
            <a:ln>
              <a:noFill/>
            </a:ln>
            <a:effectLst/>
          </c:spPr>
          <c:invertIfNegative val="0"/>
          <c:cat>
            <c:strRef>
              <c:f>Dashboard!$K$60:$K$66</c:f>
              <c:strCache>
                <c:ptCount val="6"/>
                <c:pt idx="0">
                  <c:v>Headphones</c:v>
                </c:pt>
                <c:pt idx="1">
                  <c:v>Keyboard</c:v>
                </c:pt>
                <c:pt idx="2">
                  <c:v>Laptop</c:v>
                </c:pt>
                <c:pt idx="3">
                  <c:v>Monitor</c:v>
                </c:pt>
                <c:pt idx="4">
                  <c:v>Mouse</c:v>
                </c:pt>
                <c:pt idx="5">
                  <c:v>Printer</c:v>
                </c:pt>
              </c:strCache>
            </c:strRef>
          </c:cat>
          <c:val>
            <c:numRef>
              <c:f>Dashboard!$L$60:$L$66</c:f>
              <c:numCache>
                <c:formatCode>General</c:formatCode>
                <c:ptCount val="6"/>
                <c:pt idx="0">
                  <c:v>484561</c:v>
                </c:pt>
                <c:pt idx="1">
                  <c:v>364653</c:v>
                </c:pt>
                <c:pt idx="2">
                  <c:v>349008</c:v>
                </c:pt>
                <c:pt idx="3">
                  <c:v>280151</c:v>
                </c:pt>
                <c:pt idx="4">
                  <c:v>407299</c:v>
                </c:pt>
                <c:pt idx="5">
                  <c:v>276822</c:v>
                </c:pt>
              </c:numCache>
            </c:numRef>
          </c:val>
          <c:extLst>
            <c:ext xmlns:c16="http://schemas.microsoft.com/office/drawing/2014/chart" uri="{C3380CC4-5D6E-409C-BE32-E72D297353CC}">
              <c16:uniqueId val="{00000000-A564-474F-9792-9CAC05EB4AA0}"/>
            </c:ext>
          </c:extLst>
        </c:ser>
        <c:dLbls>
          <c:showLegendKey val="0"/>
          <c:showVal val="0"/>
          <c:showCatName val="0"/>
          <c:showSerName val="0"/>
          <c:showPercent val="0"/>
          <c:showBubbleSize val="0"/>
        </c:dLbls>
        <c:gapWidth val="219"/>
        <c:overlap val="-27"/>
        <c:axId val="530827752"/>
        <c:axId val="530828080"/>
      </c:barChart>
      <c:catAx>
        <c:axId val="530827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28080"/>
        <c:crosses val="autoZero"/>
        <c:auto val="1"/>
        <c:lblAlgn val="ctr"/>
        <c:lblOffset val="100"/>
        <c:noMultiLvlLbl val="0"/>
      </c:catAx>
      <c:valAx>
        <c:axId val="53082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27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91440</xdr:colOff>
      <xdr:row>9</xdr:row>
      <xdr:rowOff>118110</xdr:rowOff>
    </xdr:from>
    <xdr:to>
      <xdr:col>7</xdr:col>
      <xdr:colOff>251460</xdr:colOff>
      <xdr:row>24</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121920</xdr:colOff>
      <xdr:row>25</xdr:row>
      <xdr:rowOff>118110</xdr:rowOff>
    </xdr:from>
    <xdr:to>
      <xdr:col>7</xdr:col>
      <xdr:colOff>281940</xdr:colOff>
      <xdr:row>40</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114300</xdr:colOff>
      <xdr:row>41</xdr:row>
      <xdr:rowOff>41910</xdr:rowOff>
    </xdr:from>
    <xdr:to>
      <xdr:col>7</xdr:col>
      <xdr:colOff>274320</xdr:colOff>
      <xdr:row>56</xdr:row>
      <xdr:rowOff>41910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xdr:colOff>
      <xdr:row>56</xdr:row>
      <xdr:rowOff>148590</xdr:rowOff>
    </xdr:from>
    <xdr:to>
      <xdr:col>7</xdr:col>
      <xdr:colOff>167640</xdr:colOff>
      <xdr:row>71</xdr:row>
      <xdr:rowOff>148590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7620</xdr:colOff>
      <xdr:row>73</xdr:row>
      <xdr:rowOff>15241</xdr:rowOff>
    </xdr:from>
    <xdr:to>
      <xdr:col>3</xdr:col>
      <xdr:colOff>403860</xdr:colOff>
      <xdr:row>83</xdr:row>
      <xdr:rowOff>160021</xdr:rowOff>
    </xdr:to>
    <mc:AlternateContent xmlns:mc="http://schemas.openxmlformats.org/markup-compatibility/2006">
      <mc:Choice xmlns:a14="http://schemas.microsoft.com/office/drawing/2010/main" Requires="a14">
        <xdr:graphicFrame macro="">
          <xdr:nvGraphicFramePr>
            <xdr:cNvPr id="21"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17220" y="13380721"/>
              <a:ext cx="1828800"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xdr:colOff>
      <xdr:row>73</xdr:row>
      <xdr:rowOff>1</xdr:rowOff>
    </xdr:from>
    <xdr:to>
      <xdr:col>9</xdr:col>
      <xdr:colOff>495300</xdr:colOff>
      <xdr:row>79</xdr:row>
      <xdr:rowOff>68581</xdr:rowOff>
    </xdr:to>
    <mc:AlternateContent xmlns:mc="http://schemas.openxmlformats.org/markup-compatibility/2006">
      <mc:Choice xmlns:a14="http://schemas.microsoft.com/office/drawing/2010/main" Requires="a14">
        <xdr:graphicFrame macro="">
          <xdr:nvGraphicFramePr>
            <xdr:cNvPr id="2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44440" y="1336548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73</xdr:row>
      <xdr:rowOff>7621</xdr:rowOff>
    </xdr:from>
    <xdr:to>
      <xdr:col>6</xdr:col>
      <xdr:colOff>220980</xdr:colOff>
      <xdr:row>80</xdr:row>
      <xdr:rowOff>167641</xdr:rowOff>
    </xdr:to>
    <mc:AlternateContent xmlns:mc="http://schemas.openxmlformats.org/markup-compatibility/2006">
      <mc:Choice xmlns:a14="http://schemas.microsoft.com/office/drawing/2010/main" Requires="a14">
        <xdr:graphicFrame macro="">
          <xdr:nvGraphicFramePr>
            <xdr:cNvPr id="2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04160" y="13373101"/>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RILU" refreshedDate="46178.785892476852" createdVersion="6" refreshedVersion="6" minRefreshableVersion="3" recordCount="200">
  <cacheSource type="worksheet">
    <worksheetSource name="Table2[[Order_Date]:[Sales]]"/>
  </cacheSource>
  <cacheFields count="7">
    <cacheField name="Order_Date" numFmtId="14">
      <sharedItems containsSemiMixedTypes="0" containsNonDate="0" containsDate="1" containsString="0" minDate="2025-01-02T00:00:00" maxDate="2025-12-30T00:00:00"/>
    </cacheField>
    <cacheField name="Product" numFmtId="0">
      <sharedItems count="6">
        <s v="Printer"/>
        <s v="Headphones"/>
        <s v="Monitor"/>
        <s v="Laptop"/>
        <s v="Keyboard"/>
        <s v="Mouse"/>
      </sharedItems>
    </cacheField>
    <cacheField name="Category" numFmtId="0">
      <sharedItems count="3">
        <s v="Office"/>
        <s v="Electronics"/>
        <s v="Accessories"/>
      </sharedItems>
    </cacheField>
    <cacheField name="Region" numFmtId="0">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499" maxValue="4999"/>
    </cacheField>
    <cacheField name="Sales" numFmtId="0">
      <sharedItems containsSemiMixedTypes="0" containsString="0" containsNumber="1" containsInteger="1" minValue="499" maxValue="499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RILU" refreshedDate="46178.789947916666" createdVersion="6" refreshedVersion="6" minRefreshableVersion="3" recordCount="200">
  <cacheSource type="worksheet">
    <worksheetSource name="Table2"/>
  </cacheSource>
  <cacheFields count="9">
    <cacheField name="Order_ID" numFmtId="0">
      <sharedItems containsSemiMixedTypes="0" containsString="0" containsNumber="1" containsInteger="1" minValue="1" maxValue="200"/>
    </cacheField>
    <cacheField name="Order_Date" numFmtId="14">
      <sharedItems containsSemiMixedTypes="0" containsNonDate="0" containsDate="1" containsString="0" minDate="2025-01-02T00:00:00" maxDate="2025-12-30T00:00:00" count="156">
        <d v="2025-05-21T00:00:00"/>
        <d v="2025-02-22T00:00:00"/>
        <d v="2025-01-16T00:00:00"/>
        <d v="2025-11-05T00:00:00"/>
        <d v="2025-11-29T00:00:00"/>
        <d v="2025-05-23T00:00:00"/>
        <d v="2025-02-17T00:00:00"/>
        <d v="2025-11-06T00:00:00"/>
        <d v="2025-03-05T00:00:00"/>
        <d v="2025-11-18T00:00:00"/>
        <d v="2025-02-05T00:00:00"/>
        <d v="2025-02-10T00:00:00"/>
        <d v="2025-08-21T00:00:00"/>
        <d v="2025-04-18T00:00:00"/>
        <d v="2025-11-22T00:00:00"/>
        <d v="2025-08-25T00:00:00"/>
        <d v="2025-12-17T00:00:00"/>
        <d v="2025-06-11T00:00:00"/>
        <d v="2025-10-18T00:00:00"/>
        <d v="2025-11-26T00:00:00"/>
        <d v="2025-05-07T00:00:00"/>
        <d v="2025-10-26T00:00:00"/>
        <d v="2025-09-18T00:00:00"/>
        <d v="2025-03-20T00:00:00"/>
        <d v="2025-02-02T00:00:00"/>
        <d v="2025-09-28T00:00:00"/>
        <d v="2025-02-28T00:00:00"/>
        <d v="2025-05-31T00:00:00"/>
        <d v="2025-05-15T00:00:00"/>
        <d v="2025-06-02T00:00:00"/>
        <d v="2025-10-04T00:00:00"/>
        <d v="2025-01-10T00:00:00"/>
        <d v="2025-01-30T00:00:00"/>
        <d v="2025-09-06T00:00:00"/>
        <d v="2025-12-04T00:00:00"/>
        <d v="2025-12-20T00:00:00"/>
        <d v="2025-12-10T00:00:00"/>
        <d v="2025-03-03T00:00:00"/>
        <d v="2025-01-11T00:00:00"/>
        <d v="2025-02-06T00:00:00"/>
        <d v="2025-06-19T00:00:00"/>
        <d v="2025-12-09T00:00:00"/>
        <d v="2025-10-20T00:00:00"/>
        <d v="2025-04-08T00:00:00"/>
        <d v="2025-08-05T00:00:00"/>
        <d v="2025-12-01T00:00:00"/>
        <d v="2025-06-23T00:00:00"/>
        <d v="2025-10-02T00:00:00"/>
        <d v="2025-10-09T00:00:00"/>
        <d v="2025-09-04T00:00:00"/>
        <d v="2025-07-14T00:00:00"/>
        <d v="2025-05-27T00:00:00"/>
        <d v="2025-09-07T00:00:00"/>
        <d v="2025-01-26T00:00:00"/>
        <d v="2025-02-04T00:00:00"/>
        <d v="2025-12-03T00:00:00"/>
        <d v="2025-06-10T00:00:00"/>
        <d v="2025-01-05T00:00:00"/>
        <d v="2025-02-07T00:00:00"/>
        <d v="2025-06-28T00:00:00"/>
        <d v="2025-03-22T00:00:00"/>
        <d v="2025-12-06T00:00:00"/>
        <d v="2025-02-24T00:00:00"/>
        <d v="2025-09-08T00:00:00"/>
        <d v="2025-03-08T00:00:00"/>
        <d v="2025-12-28T00:00:00"/>
        <d v="2025-02-08T00:00:00"/>
        <d v="2025-06-07T00:00:00"/>
        <d v="2025-12-16T00:00:00"/>
        <d v="2025-10-14T00:00:00"/>
        <d v="2025-03-25T00:00:00"/>
        <d v="2025-06-20T00:00:00"/>
        <d v="2025-03-23T00:00:00"/>
        <d v="2025-04-24T00:00:00"/>
        <d v="2025-04-27T00:00:00"/>
        <d v="2025-06-18T00:00:00"/>
        <d v="2025-11-25T00:00:00"/>
        <d v="2025-01-15T00:00:00"/>
        <d v="2025-05-16T00:00:00"/>
        <d v="2025-06-26T00:00:00"/>
        <d v="2025-03-01T00:00:00"/>
        <d v="2025-01-23T00:00:00"/>
        <d v="2025-12-18T00:00:00"/>
        <d v="2025-12-07T00:00:00"/>
        <d v="2025-07-29T00:00:00"/>
        <d v="2025-03-07T00:00:00"/>
        <d v="2025-03-31T00:00:00"/>
        <d v="2025-06-05T00:00:00"/>
        <d v="2025-11-07T00:00:00"/>
        <d v="2025-12-12T00:00:00"/>
        <d v="2025-03-28T00:00:00"/>
        <d v="2025-11-21T00:00:00"/>
        <d v="2025-06-08T00:00:00"/>
        <d v="2025-01-24T00:00:00"/>
        <d v="2025-08-22T00:00:00"/>
        <d v="2025-12-23T00:00:00"/>
        <d v="2025-03-17T00:00:00"/>
        <d v="2025-04-01T00:00:00"/>
        <d v="2025-03-04T00:00:00"/>
        <d v="2025-09-29T00:00:00"/>
        <d v="2025-09-16T00:00:00"/>
        <d v="2025-09-01T00:00:00"/>
        <d v="2025-05-22T00:00:00"/>
        <d v="2025-08-14T00:00:00"/>
        <d v="2025-05-20T00:00:00"/>
        <d v="2025-03-12T00:00:00"/>
        <d v="2025-08-04T00:00:00"/>
        <d v="2025-07-19T00:00:00"/>
        <d v="2025-04-23T00:00:00"/>
        <d v="2025-12-14T00:00:00"/>
        <d v="2025-06-17T00:00:00"/>
        <d v="2025-08-29T00:00:00"/>
        <d v="2025-06-29T00:00:00"/>
        <d v="2025-01-21T00:00:00"/>
        <d v="2025-11-15T00:00:00"/>
        <d v="2025-12-25T00:00:00"/>
        <d v="2025-10-24T00:00:00"/>
        <d v="2025-07-12T00:00:00"/>
        <d v="2025-10-31T00:00:00"/>
        <d v="2025-11-04T00:00:00"/>
        <d v="2025-09-30T00:00:00"/>
        <d v="2025-09-17T00:00:00"/>
        <d v="2025-05-19T00:00:00"/>
        <d v="2025-11-09T00:00:00"/>
        <d v="2025-06-16T00:00:00"/>
        <d v="2025-05-13T00:00:00"/>
        <d v="2025-05-04T00:00:00"/>
        <d v="2025-01-09T00:00:00"/>
        <d v="2025-12-21T00:00:00"/>
        <d v="2025-08-31T00:00:00"/>
        <d v="2025-06-30T00:00:00"/>
        <d v="2025-04-29T00:00:00"/>
        <d v="2025-09-05T00:00:00"/>
        <d v="2025-11-02T00:00:00"/>
        <d v="2025-12-29T00:00:00"/>
        <d v="2025-10-11T00:00:00"/>
        <d v="2025-09-09T00:00:00"/>
        <d v="2025-01-27T00:00:00"/>
        <d v="2025-07-25T00:00:00"/>
        <d v="2025-08-02T00:00:00"/>
        <d v="2025-08-15T00:00:00"/>
        <d v="2025-10-19T00:00:00"/>
        <d v="2025-11-17T00:00:00"/>
        <d v="2025-05-03T00:00:00"/>
        <d v="2025-01-02T00:00:00"/>
        <d v="2025-05-30T00:00:00"/>
        <d v="2025-05-25T00:00:00"/>
        <d v="2025-04-26T00:00:00"/>
        <d v="2025-01-31T00:00:00"/>
        <d v="2025-12-19T00:00:00"/>
        <d v="2025-09-14T00:00:00"/>
        <d v="2025-05-09T00:00:00"/>
        <d v="2025-10-22T00:00:00"/>
        <d v="2025-02-15T00:00:00"/>
        <d v="2025-07-26T00:00:00"/>
        <d v="2025-07-31T00:00:00"/>
      </sharedItems>
      <fieldGroup par="8" base="1">
        <rangePr groupBy="days" startDate="2025-01-02T00:00:00" endDate="2025-12-30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5"/>
        </groupItems>
      </fieldGroup>
    </cacheField>
    <cacheField name="Product" numFmtId="0">
      <sharedItems count="6">
        <s v="Printer"/>
        <s v="Headphones"/>
        <s v="Monitor"/>
        <s v="Laptop"/>
        <s v="Keyboard"/>
        <s v="Mouse"/>
      </sharedItems>
    </cacheField>
    <cacheField name="Category" numFmtId="0">
      <sharedItems count="3">
        <s v="Office"/>
        <s v="Electronics"/>
        <s v="Accessories"/>
      </sharedItems>
    </cacheField>
    <cacheField name="Region" numFmtId="0">
      <sharedItems count="4">
        <s v="South"/>
        <s v="North"/>
        <s v="West"/>
        <s v="East"/>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499" maxValue="4999"/>
    </cacheField>
    <cacheField name="Sales" numFmtId="0">
      <sharedItems containsSemiMixedTypes="0" containsString="0" containsNumber="1" containsInteger="1" minValue="499" maxValue="49990"/>
    </cacheField>
    <cacheField name="Months" numFmtId="0" databaseField="0">
      <fieldGroup base="1">
        <rangePr groupBy="months" startDate="2025-01-02T00:00:00" endDate="2025-12-30T00:00:00"/>
        <groupItems count="14">
          <s v="&lt;1/2/2025"/>
          <s v="Jan"/>
          <s v="Feb"/>
          <s v="Mar"/>
          <s v="Apr"/>
          <s v="May"/>
          <s v="Jun"/>
          <s v="Jul"/>
          <s v="Aug"/>
          <s v="Sep"/>
          <s v="Oct"/>
          <s v="Nov"/>
          <s v="Dec"/>
          <s v="&gt;12/30/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d v="2025-05-21T00:00:00"/>
    <x v="0"/>
    <x v="0"/>
    <s v="South"/>
    <n v="2"/>
    <n v="499"/>
    <n v="998"/>
  </r>
  <r>
    <d v="2025-02-22T00:00:00"/>
    <x v="1"/>
    <x v="1"/>
    <s v="North"/>
    <n v="3"/>
    <n v="4999"/>
    <n v="14997"/>
  </r>
  <r>
    <d v="2025-01-16T00:00:00"/>
    <x v="2"/>
    <x v="1"/>
    <s v="North"/>
    <n v="7"/>
    <n v="499"/>
    <n v="3493"/>
  </r>
  <r>
    <d v="2025-11-05T00:00:00"/>
    <x v="1"/>
    <x v="1"/>
    <s v="North"/>
    <n v="4"/>
    <n v="2499"/>
    <n v="9996"/>
  </r>
  <r>
    <d v="2025-11-29T00:00:00"/>
    <x v="2"/>
    <x v="1"/>
    <s v="West"/>
    <n v="4"/>
    <n v="4999"/>
    <n v="19996"/>
  </r>
  <r>
    <d v="2025-05-23T00:00:00"/>
    <x v="1"/>
    <x v="1"/>
    <s v="North"/>
    <n v="8"/>
    <n v="2499"/>
    <n v="19992"/>
  </r>
  <r>
    <d v="2025-05-23T00:00:00"/>
    <x v="1"/>
    <x v="1"/>
    <s v="South"/>
    <n v="7"/>
    <n v="999"/>
    <n v="6993"/>
  </r>
  <r>
    <d v="2025-02-17T00:00:00"/>
    <x v="1"/>
    <x v="1"/>
    <s v="West"/>
    <n v="6"/>
    <n v="499"/>
    <n v="2994"/>
  </r>
  <r>
    <d v="2025-11-06T00:00:00"/>
    <x v="3"/>
    <x v="1"/>
    <s v="East"/>
    <n v="6"/>
    <n v="999"/>
    <n v="5994"/>
  </r>
  <r>
    <d v="2025-03-05T00:00:00"/>
    <x v="3"/>
    <x v="1"/>
    <s v="West"/>
    <n v="8"/>
    <n v="2499"/>
    <n v="19992"/>
  </r>
  <r>
    <d v="2025-11-18T00:00:00"/>
    <x v="3"/>
    <x v="1"/>
    <s v="East"/>
    <n v="9"/>
    <n v="999"/>
    <n v="8991"/>
  </r>
  <r>
    <d v="2025-02-05T00:00:00"/>
    <x v="2"/>
    <x v="1"/>
    <s v="North"/>
    <n v="4"/>
    <n v="4999"/>
    <n v="19996"/>
  </r>
  <r>
    <d v="2025-02-10T00:00:00"/>
    <x v="0"/>
    <x v="0"/>
    <s v="South"/>
    <n v="4"/>
    <n v="999"/>
    <n v="3996"/>
  </r>
  <r>
    <d v="2025-08-21T00:00:00"/>
    <x v="3"/>
    <x v="1"/>
    <s v="East"/>
    <n v="7"/>
    <n v="999"/>
    <n v="6993"/>
  </r>
  <r>
    <d v="2025-04-18T00:00:00"/>
    <x v="1"/>
    <x v="1"/>
    <s v="East"/>
    <n v="6"/>
    <n v="999"/>
    <n v="5994"/>
  </r>
  <r>
    <d v="2025-11-22T00:00:00"/>
    <x v="0"/>
    <x v="0"/>
    <s v="South"/>
    <n v="2"/>
    <n v="2499"/>
    <n v="4998"/>
  </r>
  <r>
    <d v="2025-08-25T00:00:00"/>
    <x v="2"/>
    <x v="1"/>
    <s v="West"/>
    <n v="4"/>
    <n v="799"/>
    <n v="3196"/>
  </r>
  <r>
    <d v="2025-12-17T00:00:00"/>
    <x v="4"/>
    <x v="2"/>
    <s v="East"/>
    <n v="9"/>
    <n v="799"/>
    <n v="7191"/>
  </r>
  <r>
    <d v="2025-06-11T00:00:00"/>
    <x v="3"/>
    <x v="1"/>
    <s v="West"/>
    <n v="4"/>
    <n v="499"/>
    <n v="1996"/>
  </r>
  <r>
    <d v="2025-10-18T00:00:00"/>
    <x v="4"/>
    <x v="2"/>
    <s v="East"/>
    <n v="2"/>
    <n v="799"/>
    <n v="1598"/>
  </r>
  <r>
    <d v="2025-11-26T00:00:00"/>
    <x v="1"/>
    <x v="1"/>
    <s v="West"/>
    <n v="8"/>
    <n v="1499"/>
    <n v="11992"/>
  </r>
  <r>
    <d v="2025-05-07T00:00:00"/>
    <x v="1"/>
    <x v="1"/>
    <s v="East"/>
    <n v="5"/>
    <n v="799"/>
    <n v="3995"/>
  </r>
  <r>
    <d v="2025-10-26T00:00:00"/>
    <x v="0"/>
    <x v="0"/>
    <s v="West"/>
    <n v="10"/>
    <n v="1499"/>
    <n v="14990"/>
  </r>
  <r>
    <d v="2025-09-18T00:00:00"/>
    <x v="4"/>
    <x v="2"/>
    <s v="West"/>
    <n v="4"/>
    <n v="799"/>
    <n v="3196"/>
  </r>
  <r>
    <d v="2025-03-20T00:00:00"/>
    <x v="3"/>
    <x v="1"/>
    <s v="South"/>
    <n v="1"/>
    <n v="499"/>
    <n v="499"/>
  </r>
  <r>
    <d v="2025-02-02T00:00:00"/>
    <x v="0"/>
    <x v="0"/>
    <s v="West"/>
    <n v="7"/>
    <n v="2499"/>
    <n v="17493"/>
  </r>
  <r>
    <d v="2025-09-28T00:00:00"/>
    <x v="5"/>
    <x v="2"/>
    <s v="East"/>
    <n v="10"/>
    <n v="1499"/>
    <n v="14990"/>
  </r>
  <r>
    <d v="2025-02-28T00:00:00"/>
    <x v="2"/>
    <x v="1"/>
    <s v="East"/>
    <n v="1"/>
    <n v="4999"/>
    <n v="4999"/>
  </r>
  <r>
    <d v="2025-05-31T00:00:00"/>
    <x v="0"/>
    <x v="0"/>
    <s v="West"/>
    <n v="6"/>
    <n v="499"/>
    <n v="2994"/>
  </r>
  <r>
    <d v="2025-05-15T00:00:00"/>
    <x v="1"/>
    <x v="1"/>
    <s v="South"/>
    <n v="8"/>
    <n v="499"/>
    <n v="3992"/>
  </r>
  <r>
    <d v="2025-06-02T00:00:00"/>
    <x v="2"/>
    <x v="1"/>
    <s v="South"/>
    <n v="2"/>
    <n v="4999"/>
    <n v="9998"/>
  </r>
  <r>
    <d v="2025-10-04T00:00:00"/>
    <x v="1"/>
    <x v="1"/>
    <s v="North"/>
    <n v="6"/>
    <n v="799"/>
    <n v="4794"/>
  </r>
  <r>
    <d v="2025-01-10T00:00:00"/>
    <x v="2"/>
    <x v="1"/>
    <s v="North"/>
    <n v="6"/>
    <n v="1499"/>
    <n v="8994"/>
  </r>
  <r>
    <d v="2025-01-30T00:00:00"/>
    <x v="4"/>
    <x v="2"/>
    <s v="South"/>
    <n v="5"/>
    <n v="799"/>
    <n v="3995"/>
  </r>
  <r>
    <d v="2025-09-06T00:00:00"/>
    <x v="2"/>
    <x v="1"/>
    <s v="North"/>
    <n v="2"/>
    <n v="499"/>
    <n v="998"/>
  </r>
  <r>
    <d v="2025-12-04T00:00:00"/>
    <x v="2"/>
    <x v="1"/>
    <s v="West"/>
    <n v="3"/>
    <n v="799"/>
    <n v="2397"/>
  </r>
  <r>
    <d v="2025-09-28T00:00:00"/>
    <x v="2"/>
    <x v="1"/>
    <s v="West"/>
    <n v="3"/>
    <n v="999"/>
    <n v="2997"/>
  </r>
  <r>
    <d v="2025-12-20T00:00:00"/>
    <x v="1"/>
    <x v="1"/>
    <s v="South"/>
    <n v="9"/>
    <n v="4999"/>
    <n v="44991"/>
  </r>
  <r>
    <d v="2025-12-10T00:00:00"/>
    <x v="0"/>
    <x v="0"/>
    <s v="East"/>
    <n v="5"/>
    <n v="1499"/>
    <n v="7495"/>
  </r>
  <r>
    <d v="2025-03-03T00:00:00"/>
    <x v="5"/>
    <x v="2"/>
    <s v="South"/>
    <n v="9"/>
    <n v="1499"/>
    <n v="13491"/>
  </r>
  <r>
    <d v="2025-01-11T00:00:00"/>
    <x v="1"/>
    <x v="1"/>
    <s v="South"/>
    <n v="2"/>
    <n v="999"/>
    <n v="1998"/>
  </r>
  <r>
    <d v="2025-02-06T00:00:00"/>
    <x v="2"/>
    <x v="1"/>
    <s v="North"/>
    <n v="4"/>
    <n v="499"/>
    <n v="1996"/>
  </r>
  <r>
    <d v="2025-06-19T00:00:00"/>
    <x v="1"/>
    <x v="1"/>
    <s v="North"/>
    <n v="2"/>
    <n v="499"/>
    <n v="998"/>
  </r>
  <r>
    <d v="2025-12-09T00:00:00"/>
    <x v="2"/>
    <x v="1"/>
    <s v="West"/>
    <n v="4"/>
    <n v="999"/>
    <n v="3996"/>
  </r>
  <r>
    <d v="2025-10-20T00:00:00"/>
    <x v="1"/>
    <x v="1"/>
    <s v="West"/>
    <n v="9"/>
    <n v="799"/>
    <n v="7191"/>
  </r>
  <r>
    <d v="2025-04-08T00:00:00"/>
    <x v="1"/>
    <x v="1"/>
    <s v="North"/>
    <n v="8"/>
    <n v="1499"/>
    <n v="11992"/>
  </r>
  <r>
    <d v="2025-08-05T00:00:00"/>
    <x v="3"/>
    <x v="1"/>
    <s v="West"/>
    <n v="7"/>
    <n v="999"/>
    <n v="6993"/>
  </r>
  <r>
    <d v="2025-12-01T00:00:00"/>
    <x v="5"/>
    <x v="2"/>
    <s v="North"/>
    <n v="1"/>
    <n v="4999"/>
    <n v="4999"/>
  </r>
  <r>
    <d v="2025-06-23T00:00:00"/>
    <x v="3"/>
    <x v="1"/>
    <s v="North"/>
    <n v="7"/>
    <n v="4999"/>
    <n v="34993"/>
  </r>
  <r>
    <d v="2025-10-02T00:00:00"/>
    <x v="1"/>
    <x v="1"/>
    <s v="West"/>
    <n v="4"/>
    <n v="799"/>
    <n v="3196"/>
  </r>
  <r>
    <d v="2025-05-23T00:00:00"/>
    <x v="1"/>
    <x v="1"/>
    <s v="West"/>
    <n v="7"/>
    <n v="799"/>
    <n v="5593"/>
  </r>
  <r>
    <d v="2025-10-09T00:00:00"/>
    <x v="1"/>
    <x v="1"/>
    <s v="North"/>
    <n v="2"/>
    <n v="1499"/>
    <n v="2998"/>
  </r>
  <r>
    <d v="2025-02-17T00:00:00"/>
    <x v="3"/>
    <x v="1"/>
    <s v="South"/>
    <n v="9"/>
    <n v="499"/>
    <n v="4491"/>
  </r>
  <r>
    <d v="2025-09-04T00:00:00"/>
    <x v="1"/>
    <x v="1"/>
    <s v="South"/>
    <n v="7"/>
    <n v="1499"/>
    <n v="10493"/>
  </r>
  <r>
    <d v="2025-07-14T00:00:00"/>
    <x v="5"/>
    <x v="2"/>
    <s v="North"/>
    <n v="1"/>
    <n v="799"/>
    <n v="799"/>
  </r>
  <r>
    <d v="2025-05-27T00:00:00"/>
    <x v="5"/>
    <x v="2"/>
    <s v="West"/>
    <n v="5"/>
    <n v="1499"/>
    <n v="7495"/>
  </r>
  <r>
    <d v="2025-09-07T00:00:00"/>
    <x v="0"/>
    <x v="0"/>
    <s v="South"/>
    <n v="9"/>
    <n v="4999"/>
    <n v="44991"/>
  </r>
  <r>
    <d v="2025-01-30T00:00:00"/>
    <x v="1"/>
    <x v="1"/>
    <s v="North"/>
    <n v="5"/>
    <n v="799"/>
    <n v="3995"/>
  </r>
  <r>
    <d v="2025-01-26T00:00:00"/>
    <x v="0"/>
    <x v="0"/>
    <s v="West"/>
    <n v="6"/>
    <n v="499"/>
    <n v="2994"/>
  </r>
  <r>
    <d v="2025-01-30T00:00:00"/>
    <x v="2"/>
    <x v="1"/>
    <s v="North"/>
    <n v="9"/>
    <n v="799"/>
    <n v="7191"/>
  </r>
  <r>
    <d v="2025-02-04T00:00:00"/>
    <x v="1"/>
    <x v="1"/>
    <s v="South"/>
    <n v="2"/>
    <n v="2499"/>
    <n v="4998"/>
  </r>
  <r>
    <d v="2025-05-07T00:00:00"/>
    <x v="5"/>
    <x v="2"/>
    <s v="North"/>
    <n v="2"/>
    <n v="2499"/>
    <n v="4998"/>
  </r>
  <r>
    <d v="2025-12-03T00:00:00"/>
    <x v="2"/>
    <x v="1"/>
    <s v="East"/>
    <n v="2"/>
    <n v="1499"/>
    <n v="2998"/>
  </r>
  <r>
    <d v="2025-06-10T00:00:00"/>
    <x v="4"/>
    <x v="2"/>
    <s v="South"/>
    <n v="4"/>
    <n v="4999"/>
    <n v="19996"/>
  </r>
  <r>
    <d v="2025-12-10T00:00:00"/>
    <x v="4"/>
    <x v="2"/>
    <s v="East"/>
    <n v="7"/>
    <n v="799"/>
    <n v="5593"/>
  </r>
  <r>
    <d v="2025-01-05T00:00:00"/>
    <x v="5"/>
    <x v="2"/>
    <s v="West"/>
    <n v="6"/>
    <n v="499"/>
    <n v="2994"/>
  </r>
  <r>
    <d v="2025-02-07T00:00:00"/>
    <x v="2"/>
    <x v="1"/>
    <s v="South"/>
    <n v="10"/>
    <n v="499"/>
    <n v="4990"/>
  </r>
  <r>
    <d v="2025-06-28T00:00:00"/>
    <x v="2"/>
    <x v="1"/>
    <s v="North"/>
    <n v="5"/>
    <n v="799"/>
    <n v="3995"/>
  </r>
  <r>
    <d v="2025-03-22T00:00:00"/>
    <x v="1"/>
    <x v="1"/>
    <s v="West"/>
    <n v="6"/>
    <n v="999"/>
    <n v="5994"/>
  </r>
  <r>
    <d v="2025-12-01T00:00:00"/>
    <x v="2"/>
    <x v="1"/>
    <s v="North"/>
    <n v="5"/>
    <n v="2499"/>
    <n v="12495"/>
  </r>
  <r>
    <d v="2025-12-06T00:00:00"/>
    <x v="0"/>
    <x v="0"/>
    <s v="North"/>
    <n v="9"/>
    <n v="999"/>
    <n v="8991"/>
  </r>
  <r>
    <d v="2025-02-24T00:00:00"/>
    <x v="1"/>
    <x v="1"/>
    <s v="South"/>
    <n v="5"/>
    <n v="499"/>
    <n v="2495"/>
  </r>
  <r>
    <d v="2025-04-18T00:00:00"/>
    <x v="4"/>
    <x v="2"/>
    <s v="East"/>
    <n v="5"/>
    <n v="2499"/>
    <n v="12495"/>
  </r>
  <r>
    <d v="2025-09-08T00:00:00"/>
    <x v="1"/>
    <x v="1"/>
    <s v="East"/>
    <n v="5"/>
    <n v="2499"/>
    <n v="12495"/>
  </r>
  <r>
    <d v="2025-08-05T00:00:00"/>
    <x v="3"/>
    <x v="1"/>
    <s v="East"/>
    <n v="2"/>
    <n v="4999"/>
    <n v="9998"/>
  </r>
  <r>
    <d v="2025-03-08T00:00:00"/>
    <x v="3"/>
    <x v="1"/>
    <s v="East"/>
    <n v="1"/>
    <n v="999"/>
    <n v="999"/>
  </r>
  <r>
    <d v="2025-12-28T00:00:00"/>
    <x v="1"/>
    <x v="1"/>
    <s v="West"/>
    <n v="8"/>
    <n v="2499"/>
    <n v="19992"/>
  </r>
  <r>
    <d v="2025-02-08T00:00:00"/>
    <x v="2"/>
    <x v="1"/>
    <s v="South"/>
    <n v="1"/>
    <n v="499"/>
    <n v="499"/>
  </r>
  <r>
    <d v="2025-10-26T00:00:00"/>
    <x v="2"/>
    <x v="1"/>
    <s v="South"/>
    <n v="1"/>
    <n v="999"/>
    <n v="999"/>
  </r>
  <r>
    <d v="2025-06-07T00:00:00"/>
    <x v="5"/>
    <x v="2"/>
    <s v="East"/>
    <n v="3"/>
    <n v="499"/>
    <n v="1497"/>
  </r>
  <r>
    <d v="2025-12-16T00:00:00"/>
    <x v="3"/>
    <x v="1"/>
    <s v="South"/>
    <n v="6"/>
    <n v="799"/>
    <n v="4794"/>
  </r>
  <r>
    <d v="2025-10-14T00:00:00"/>
    <x v="0"/>
    <x v="0"/>
    <s v="West"/>
    <n v="2"/>
    <n v="999"/>
    <n v="1998"/>
  </r>
  <r>
    <d v="2025-03-25T00:00:00"/>
    <x v="2"/>
    <x v="1"/>
    <s v="South"/>
    <n v="3"/>
    <n v="799"/>
    <n v="2397"/>
  </r>
  <r>
    <d v="2025-06-20T00:00:00"/>
    <x v="5"/>
    <x v="2"/>
    <s v="West"/>
    <n v="1"/>
    <n v="799"/>
    <n v="799"/>
  </r>
  <r>
    <d v="2025-03-23T00:00:00"/>
    <x v="0"/>
    <x v="0"/>
    <s v="North"/>
    <n v="4"/>
    <n v="999"/>
    <n v="3996"/>
  </r>
  <r>
    <d v="2025-04-24T00:00:00"/>
    <x v="5"/>
    <x v="2"/>
    <s v="South"/>
    <n v="1"/>
    <n v="1499"/>
    <n v="1499"/>
  </r>
  <r>
    <d v="2025-04-27T00:00:00"/>
    <x v="5"/>
    <x v="2"/>
    <s v="South"/>
    <n v="6"/>
    <n v="999"/>
    <n v="5994"/>
  </r>
  <r>
    <d v="2025-06-18T00:00:00"/>
    <x v="3"/>
    <x v="1"/>
    <s v="East"/>
    <n v="4"/>
    <n v="1499"/>
    <n v="5996"/>
  </r>
  <r>
    <d v="2025-11-25T00:00:00"/>
    <x v="3"/>
    <x v="1"/>
    <s v="West"/>
    <n v="5"/>
    <n v="999"/>
    <n v="4995"/>
  </r>
  <r>
    <d v="2025-01-15T00:00:00"/>
    <x v="0"/>
    <x v="0"/>
    <s v="North"/>
    <n v="9"/>
    <n v="999"/>
    <n v="8991"/>
  </r>
  <r>
    <d v="2025-05-16T00:00:00"/>
    <x v="4"/>
    <x v="2"/>
    <s v="North"/>
    <n v="3"/>
    <n v="2499"/>
    <n v="7497"/>
  </r>
  <r>
    <d v="2025-06-26T00:00:00"/>
    <x v="3"/>
    <x v="1"/>
    <s v="East"/>
    <n v="10"/>
    <n v="1499"/>
    <n v="14990"/>
  </r>
  <r>
    <d v="2025-03-01T00:00:00"/>
    <x v="5"/>
    <x v="2"/>
    <s v="West"/>
    <n v="10"/>
    <n v="2499"/>
    <n v="24990"/>
  </r>
  <r>
    <d v="2025-01-23T00:00:00"/>
    <x v="2"/>
    <x v="1"/>
    <s v="West"/>
    <n v="4"/>
    <n v="999"/>
    <n v="3996"/>
  </r>
  <r>
    <d v="2025-12-18T00:00:00"/>
    <x v="3"/>
    <x v="1"/>
    <s v="South"/>
    <n v="9"/>
    <n v="2499"/>
    <n v="22491"/>
  </r>
  <r>
    <d v="2025-12-07T00:00:00"/>
    <x v="4"/>
    <x v="2"/>
    <s v="East"/>
    <n v="7"/>
    <n v="499"/>
    <n v="3493"/>
  </r>
  <r>
    <d v="2025-03-05T00:00:00"/>
    <x v="2"/>
    <x v="1"/>
    <s v="East"/>
    <n v="6"/>
    <n v="4999"/>
    <n v="29994"/>
  </r>
  <r>
    <d v="2025-07-29T00:00:00"/>
    <x v="2"/>
    <x v="1"/>
    <s v="East"/>
    <n v="5"/>
    <n v="4999"/>
    <n v="24995"/>
  </r>
  <r>
    <d v="2025-03-07T00:00:00"/>
    <x v="5"/>
    <x v="2"/>
    <s v="South"/>
    <n v="5"/>
    <n v="2499"/>
    <n v="12495"/>
  </r>
  <r>
    <d v="2025-03-31T00:00:00"/>
    <x v="5"/>
    <x v="2"/>
    <s v="East"/>
    <n v="7"/>
    <n v="4999"/>
    <n v="34993"/>
  </r>
  <r>
    <d v="2025-06-05T00:00:00"/>
    <x v="5"/>
    <x v="2"/>
    <s v="East"/>
    <n v="9"/>
    <n v="499"/>
    <n v="4491"/>
  </r>
  <r>
    <d v="2025-11-07T00:00:00"/>
    <x v="1"/>
    <x v="1"/>
    <s v="East"/>
    <n v="7"/>
    <n v="2499"/>
    <n v="17493"/>
  </r>
  <r>
    <d v="2025-12-12T00:00:00"/>
    <x v="5"/>
    <x v="2"/>
    <s v="South"/>
    <n v="8"/>
    <n v="1499"/>
    <n v="11992"/>
  </r>
  <r>
    <d v="2025-03-28T00:00:00"/>
    <x v="2"/>
    <x v="1"/>
    <s v="North"/>
    <n v="8"/>
    <n v="4999"/>
    <n v="39992"/>
  </r>
  <r>
    <d v="2025-11-21T00:00:00"/>
    <x v="4"/>
    <x v="2"/>
    <s v="East"/>
    <n v="9"/>
    <n v="4999"/>
    <n v="44991"/>
  </r>
  <r>
    <d v="2025-06-08T00:00:00"/>
    <x v="3"/>
    <x v="1"/>
    <s v="South"/>
    <n v="4"/>
    <n v="4999"/>
    <n v="19996"/>
  </r>
  <r>
    <d v="2025-01-24T00:00:00"/>
    <x v="1"/>
    <x v="1"/>
    <s v="South"/>
    <n v="3"/>
    <n v="499"/>
    <n v="1497"/>
  </r>
  <r>
    <d v="2025-08-22T00:00:00"/>
    <x v="5"/>
    <x v="2"/>
    <s v="West"/>
    <n v="10"/>
    <n v="499"/>
    <n v="4990"/>
  </r>
  <r>
    <d v="2025-12-23T00:00:00"/>
    <x v="0"/>
    <x v="0"/>
    <s v="West"/>
    <n v="10"/>
    <n v="799"/>
    <n v="7990"/>
  </r>
  <r>
    <d v="2025-03-17T00:00:00"/>
    <x v="5"/>
    <x v="2"/>
    <s v="North"/>
    <n v="7"/>
    <n v="799"/>
    <n v="5593"/>
  </r>
  <r>
    <d v="2025-04-01T00:00:00"/>
    <x v="3"/>
    <x v="1"/>
    <s v="West"/>
    <n v="7"/>
    <n v="799"/>
    <n v="5593"/>
  </r>
  <r>
    <d v="2025-03-04T00:00:00"/>
    <x v="3"/>
    <x v="1"/>
    <s v="West"/>
    <n v="9"/>
    <n v="799"/>
    <n v="7191"/>
  </r>
  <r>
    <d v="2025-09-29T00:00:00"/>
    <x v="1"/>
    <x v="1"/>
    <s v="East"/>
    <n v="8"/>
    <n v="4999"/>
    <n v="39992"/>
  </r>
  <r>
    <d v="2025-09-16T00:00:00"/>
    <x v="5"/>
    <x v="2"/>
    <s v="West"/>
    <n v="10"/>
    <n v="4999"/>
    <n v="49990"/>
  </r>
  <r>
    <d v="2025-09-01T00:00:00"/>
    <x v="2"/>
    <x v="1"/>
    <s v="West"/>
    <n v="8"/>
    <n v="799"/>
    <n v="6392"/>
  </r>
  <r>
    <d v="2025-05-22T00:00:00"/>
    <x v="4"/>
    <x v="2"/>
    <s v="West"/>
    <n v="4"/>
    <n v="4999"/>
    <n v="19996"/>
  </r>
  <r>
    <d v="2025-08-14T00:00:00"/>
    <x v="0"/>
    <x v="0"/>
    <s v="North"/>
    <n v="4"/>
    <n v="999"/>
    <n v="3996"/>
  </r>
  <r>
    <d v="2025-05-20T00:00:00"/>
    <x v="0"/>
    <x v="0"/>
    <s v="East"/>
    <n v="5"/>
    <n v="799"/>
    <n v="3995"/>
  </r>
  <r>
    <d v="2025-03-12T00:00:00"/>
    <x v="4"/>
    <x v="2"/>
    <s v="South"/>
    <n v="9"/>
    <n v="499"/>
    <n v="4491"/>
  </r>
  <r>
    <d v="2025-03-20T00:00:00"/>
    <x v="1"/>
    <x v="1"/>
    <s v="South"/>
    <n v="7"/>
    <n v="4999"/>
    <n v="34993"/>
  </r>
  <r>
    <d v="2025-06-19T00:00:00"/>
    <x v="3"/>
    <x v="1"/>
    <s v="West"/>
    <n v="7"/>
    <n v="1499"/>
    <n v="10493"/>
  </r>
  <r>
    <d v="2025-08-04T00:00:00"/>
    <x v="5"/>
    <x v="2"/>
    <s v="West"/>
    <n v="1"/>
    <n v="799"/>
    <n v="799"/>
  </r>
  <r>
    <d v="2025-07-14T00:00:00"/>
    <x v="2"/>
    <x v="1"/>
    <s v="West"/>
    <n v="1"/>
    <n v="2499"/>
    <n v="2499"/>
  </r>
  <r>
    <d v="2025-07-19T00:00:00"/>
    <x v="3"/>
    <x v="1"/>
    <s v="West"/>
    <n v="6"/>
    <n v="999"/>
    <n v="5994"/>
  </r>
  <r>
    <d v="2025-04-23T00:00:00"/>
    <x v="2"/>
    <x v="1"/>
    <s v="West"/>
    <n v="9"/>
    <n v="2499"/>
    <n v="22491"/>
  </r>
  <r>
    <d v="2025-09-06T00:00:00"/>
    <x v="1"/>
    <x v="1"/>
    <s v="North"/>
    <n v="5"/>
    <n v="1499"/>
    <n v="7495"/>
  </r>
  <r>
    <d v="2025-12-14T00:00:00"/>
    <x v="5"/>
    <x v="2"/>
    <s v="West"/>
    <n v="6"/>
    <n v="4999"/>
    <n v="29994"/>
  </r>
  <r>
    <d v="2025-03-07T00:00:00"/>
    <x v="0"/>
    <x v="0"/>
    <s v="North"/>
    <n v="3"/>
    <n v="1499"/>
    <n v="4497"/>
  </r>
  <r>
    <d v="2025-12-06T00:00:00"/>
    <x v="5"/>
    <x v="2"/>
    <s v="North"/>
    <n v="10"/>
    <n v="2499"/>
    <n v="24990"/>
  </r>
  <r>
    <d v="2025-08-25T00:00:00"/>
    <x v="3"/>
    <x v="1"/>
    <s v="South"/>
    <n v="7"/>
    <n v="799"/>
    <n v="5593"/>
  </r>
  <r>
    <d v="2025-06-17T00:00:00"/>
    <x v="3"/>
    <x v="1"/>
    <s v="South"/>
    <n v="5"/>
    <n v="1499"/>
    <n v="7495"/>
  </r>
  <r>
    <d v="2025-07-14T00:00:00"/>
    <x v="5"/>
    <x v="2"/>
    <s v="East"/>
    <n v="6"/>
    <n v="999"/>
    <n v="5994"/>
  </r>
  <r>
    <d v="2025-08-29T00:00:00"/>
    <x v="5"/>
    <x v="2"/>
    <s v="North"/>
    <n v="5"/>
    <n v="499"/>
    <n v="2495"/>
  </r>
  <r>
    <d v="2025-06-29T00:00:00"/>
    <x v="0"/>
    <x v="0"/>
    <s v="South"/>
    <n v="9"/>
    <n v="499"/>
    <n v="4491"/>
  </r>
  <r>
    <d v="2025-01-21T00:00:00"/>
    <x v="0"/>
    <x v="0"/>
    <s v="North"/>
    <n v="2"/>
    <n v="4999"/>
    <n v="9998"/>
  </r>
  <r>
    <d v="2025-11-15T00:00:00"/>
    <x v="1"/>
    <x v="1"/>
    <s v="South"/>
    <n v="4"/>
    <n v="499"/>
    <n v="1996"/>
  </r>
  <r>
    <d v="2025-12-09T00:00:00"/>
    <x v="1"/>
    <x v="1"/>
    <s v="North"/>
    <n v="3"/>
    <n v="1499"/>
    <n v="4497"/>
  </r>
  <r>
    <d v="2025-12-25T00:00:00"/>
    <x v="2"/>
    <x v="1"/>
    <s v="East"/>
    <n v="4"/>
    <n v="1499"/>
    <n v="5996"/>
  </r>
  <r>
    <d v="2025-11-07T00:00:00"/>
    <x v="4"/>
    <x v="2"/>
    <s v="North"/>
    <n v="3"/>
    <n v="2499"/>
    <n v="7497"/>
  </r>
  <r>
    <d v="2025-10-24T00:00:00"/>
    <x v="1"/>
    <x v="1"/>
    <s v="North"/>
    <n v="5"/>
    <n v="499"/>
    <n v="2495"/>
  </r>
  <r>
    <d v="2025-07-12T00:00:00"/>
    <x v="4"/>
    <x v="2"/>
    <s v="West"/>
    <n v="10"/>
    <n v="4999"/>
    <n v="49990"/>
  </r>
  <r>
    <d v="2025-10-31T00:00:00"/>
    <x v="0"/>
    <x v="0"/>
    <s v="South"/>
    <n v="4"/>
    <n v="499"/>
    <n v="1996"/>
  </r>
  <r>
    <d v="2025-11-04T00:00:00"/>
    <x v="3"/>
    <x v="1"/>
    <s v="North"/>
    <n v="5"/>
    <n v="4999"/>
    <n v="24995"/>
  </r>
  <r>
    <d v="2025-09-30T00:00:00"/>
    <x v="2"/>
    <x v="1"/>
    <s v="West"/>
    <n v="1"/>
    <n v="999"/>
    <n v="999"/>
  </r>
  <r>
    <d v="2025-09-17T00:00:00"/>
    <x v="0"/>
    <x v="0"/>
    <s v="East"/>
    <n v="6"/>
    <n v="499"/>
    <n v="2994"/>
  </r>
  <r>
    <d v="2025-02-24T00:00:00"/>
    <x v="3"/>
    <x v="1"/>
    <s v="West"/>
    <n v="7"/>
    <n v="1499"/>
    <n v="10493"/>
  </r>
  <r>
    <d v="2025-03-20T00:00:00"/>
    <x v="4"/>
    <x v="2"/>
    <s v="West"/>
    <n v="8"/>
    <n v="4999"/>
    <n v="39992"/>
  </r>
  <r>
    <d v="2025-05-19T00:00:00"/>
    <x v="1"/>
    <x v="1"/>
    <s v="West"/>
    <n v="9"/>
    <n v="4999"/>
    <n v="44991"/>
  </r>
  <r>
    <d v="2025-10-31T00:00:00"/>
    <x v="5"/>
    <x v="2"/>
    <s v="East"/>
    <n v="7"/>
    <n v="4999"/>
    <n v="34993"/>
  </r>
  <r>
    <d v="2025-05-23T00:00:00"/>
    <x v="4"/>
    <x v="2"/>
    <s v="West"/>
    <n v="4"/>
    <n v="499"/>
    <n v="1996"/>
  </r>
  <r>
    <d v="2025-11-09T00:00:00"/>
    <x v="1"/>
    <x v="1"/>
    <s v="West"/>
    <n v="8"/>
    <n v="2499"/>
    <n v="19992"/>
  </r>
  <r>
    <d v="2025-06-16T00:00:00"/>
    <x v="4"/>
    <x v="2"/>
    <s v="South"/>
    <n v="1"/>
    <n v="1499"/>
    <n v="1499"/>
  </r>
  <r>
    <d v="2025-05-13T00:00:00"/>
    <x v="5"/>
    <x v="2"/>
    <s v="East"/>
    <n v="4"/>
    <n v="999"/>
    <n v="3996"/>
  </r>
  <r>
    <d v="2025-05-22T00:00:00"/>
    <x v="4"/>
    <x v="2"/>
    <s v="North"/>
    <n v="10"/>
    <n v="4999"/>
    <n v="49990"/>
  </r>
  <r>
    <d v="2025-05-04T00:00:00"/>
    <x v="2"/>
    <x v="1"/>
    <s v="West"/>
    <n v="4"/>
    <n v="499"/>
    <n v="1996"/>
  </r>
  <r>
    <d v="2025-12-20T00:00:00"/>
    <x v="5"/>
    <x v="2"/>
    <s v="West"/>
    <n v="9"/>
    <n v="799"/>
    <n v="7191"/>
  </r>
  <r>
    <d v="2025-01-09T00:00:00"/>
    <x v="0"/>
    <x v="0"/>
    <s v="North"/>
    <n v="8"/>
    <n v="1499"/>
    <n v="11992"/>
  </r>
  <r>
    <d v="2025-12-21T00:00:00"/>
    <x v="4"/>
    <x v="2"/>
    <s v="South"/>
    <n v="4"/>
    <n v="1499"/>
    <n v="5996"/>
  </r>
  <r>
    <d v="2025-08-31T00:00:00"/>
    <x v="4"/>
    <x v="2"/>
    <s v="East"/>
    <n v="10"/>
    <n v="999"/>
    <n v="9990"/>
  </r>
  <r>
    <d v="2025-06-30T00:00:00"/>
    <x v="5"/>
    <x v="2"/>
    <s v="West"/>
    <n v="9"/>
    <n v="999"/>
    <n v="8991"/>
  </r>
  <r>
    <d v="2025-04-29T00:00:00"/>
    <x v="4"/>
    <x v="2"/>
    <s v="North"/>
    <n v="5"/>
    <n v="999"/>
    <n v="4995"/>
  </r>
  <r>
    <d v="2025-03-03T00:00:00"/>
    <x v="0"/>
    <x v="0"/>
    <s v="South"/>
    <n v="4"/>
    <n v="999"/>
    <n v="3996"/>
  </r>
  <r>
    <d v="2025-09-05T00:00:00"/>
    <x v="1"/>
    <x v="1"/>
    <s v="East"/>
    <n v="4"/>
    <n v="4999"/>
    <n v="19996"/>
  </r>
  <r>
    <d v="2025-11-02T00:00:00"/>
    <x v="0"/>
    <x v="0"/>
    <s v="East"/>
    <n v="10"/>
    <n v="2499"/>
    <n v="24990"/>
  </r>
  <r>
    <d v="2025-04-27T00:00:00"/>
    <x v="3"/>
    <x v="1"/>
    <s v="East"/>
    <n v="4"/>
    <n v="999"/>
    <n v="3996"/>
  </r>
  <r>
    <d v="2025-12-29T00:00:00"/>
    <x v="1"/>
    <x v="1"/>
    <s v="South"/>
    <n v="5"/>
    <n v="499"/>
    <n v="2495"/>
  </r>
  <r>
    <d v="2025-10-11T00:00:00"/>
    <x v="4"/>
    <x v="2"/>
    <s v="East"/>
    <n v="1"/>
    <n v="499"/>
    <n v="499"/>
  </r>
  <r>
    <d v="2025-09-09T00:00:00"/>
    <x v="0"/>
    <x v="0"/>
    <s v="North"/>
    <n v="3"/>
    <n v="4999"/>
    <n v="14997"/>
  </r>
  <r>
    <d v="2025-08-29T00:00:00"/>
    <x v="3"/>
    <x v="1"/>
    <s v="West"/>
    <n v="10"/>
    <n v="999"/>
    <n v="9990"/>
  </r>
  <r>
    <d v="2025-01-27T00:00:00"/>
    <x v="5"/>
    <x v="2"/>
    <s v="East"/>
    <n v="6"/>
    <n v="799"/>
    <n v="4794"/>
  </r>
  <r>
    <d v="2025-07-25T00:00:00"/>
    <x v="5"/>
    <x v="2"/>
    <s v="West"/>
    <n v="2"/>
    <n v="499"/>
    <n v="998"/>
  </r>
  <r>
    <d v="2025-12-18T00:00:00"/>
    <x v="3"/>
    <x v="1"/>
    <s v="North"/>
    <n v="10"/>
    <n v="4999"/>
    <n v="49990"/>
  </r>
  <r>
    <d v="2025-06-05T00:00:00"/>
    <x v="1"/>
    <x v="1"/>
    <s v="North"/>
    <n v="3"/>
    <n v="2499"/>
    <n v="7497"/>
  </r>
  <r>
    <d v="2025-08-02T00:00:00"/>
    <x v="1"/>
    <x v="1"/>
    <s v="South"/>
    <n v="2"/>
    <n v="2499"/>
    <n v="4998"/>
  </r>
  <r>
    <d v="2025-08-15T00:00:00"/>
    <x v="2"/>
    <x v="1"/>
    <s v="East"/>
    <n v="7"/>
    <n v="1499"/>
    <n v="10493"/>
  </r>
  <r>
    <d v="2025-10-19T00:00:00"/>
    <x v="2"/>
    <x v="1"/>
    <s v="North"/>
    <n v="7"/>
    <n v="999"/>
    <n v="6993"/>
  </r>
  <r>
    <d v="2025-11-17T00:00:00"/>
    <x v="2"/>
    <x v="1"/>
    <s v="South"/>
    <n v="2"/>
    <n v="799"/>
    <n v="1598"/>
  </r>
  <r>
    <d v="2025-05-03T00:00:00"/>
    <x v="4"/>
    <x v="2"/>
    <s v="South"/>
    <n v="2"/>
    <n v="799"/>
    <n v="1598"/>
  </r>
  <r>
    <d v="2025-01-02T00:00:00"/>
    <x v="2"/>
    <x v="1"/>
    <s v="West"/>
    <n v="2"/>
    <n v="799"/>
    <n v="1598"/>
  </r>
  <r>
    <d v="2025-05-30T00:00:00"/>
    <x v="5"/>
    <x v="2"/>
    <s v="North"/>
    <n v="10"/>
    <n v="1499"/>
    <n v="14990"/>
  </r>
  <r>
    <d v="2025-05-25T00:00:00"/>
    <x v="1"/>
    <x v="1"/>
    <s v="West"/>
    <n v="5"/>
    <n v="4999"/>
    <n v="24995"/>
  </r>
  <r>
    <d v="2025-11-17T00:00:00"/>
    <x v="3"/>
    <x v="1"/>
    <s v="South"/>
    <n v="4"/>
    <n v="999"/>
    <n v="3996"/>
  </r>
  <r>
    <d v="2025-04-26T00:00:00"/>
    <x v="5"/>
    <x v="2"/>
    <s v="South"/>
    <n v="2"/>
    <n v="2499"/>
    <n v="4998"/>
  </r>
  <r>
    <d v="2025-01-31T00:00:00"/>
    <x v="4"/>
    <x v="2"/>
    <s v="South"/>
    <n v="3"/>
    <n v="499"/>
    <n v="1497"/>
  </r>
  <r>
    <d v="2025-10-19T00:00:00"/>
    <x v="4"/>
    <x v="2"/>
    <s v="East"/>
    <n v="10"/>
    <n v="4999"/>
    <n v="49990"/>
  </r>
  <r>
    <d v="2025-12-19T00:00:00"/>
    <x v="5"/>
    <x v="2"/>
    <s v="East"/>
    <n v="2"/>
    <n v="1499"/>
    <n v="2998"/>
  </r>
  <r>
    <d v="2025-09-14T00:00:00"/>
    <x v="0"/>
    <x v="0"/>
    <s v="West"/>
    <n v="7"/>
    <n v="999"/>
    <n v="6993"/>
  </r>
  <r>
    <d v="2025-01-21T00:00:00"/>
    <x v="5"/>
    <x v="2"/>
    <s v="West"/>
    <n v="2"/>
    <n v="2499"/>
    <n v="4998"/>
  </r>
  <r>
    <d v="2025-05-09T00:00:00"/>
    <x v="0"/>
    <x v="0"/>
    <s v="North"/>
    <n v="6"/>
    <n v="2499"/>
    <n v="14994"/>
  </r>
  <r>
    <d v="2025-10-22T00:00:00"/>
    <x v="3"/>
    <x v="1"/>
    <s v="North"/>
    <n v="4"/>
    <n v="4999"/>
    <n v="19996"/>
  </r>
  <r>
    <d v="2025-01-21T00:00:00"/>
    <x v="0"/>
    <x v="0"/>
    <s v="South"/>
    <n v="5"/>
    <n v="2499"/>
    <n v="12495"/>
  </r>
  <r>
    <d v="2025-08-15T00:00:00"/>
    <x v="5"/>
    <x v="2"/>
    <s v="East"/>
    <n v="9"/>
    <n v="4999"/>
    <n v="44991"/>
  </r>
  <r>
    <d v="2025-11-22T00:00:00"/>
    <x v="1"/>
    <x v="1"/>
    <s v="West"/>
    <n v="10"/>
    <n v="1499"/>
    <n v="14990"/>
  </r>
  <r>
    <d v="2025-07-29T00:00:00"/>
    <x v="3"/>
    <x v="1"/>
    <s v="East"/>
    <n v="8"/>
    <n v="999"/>
    <n v="7992"/>
  </r>
  <r>
    <d v="2025-06-18T00:00:00"/>
    <x v="4"/>
    <x v="2"/>
    <s v="West"/>
    <n v="2"/>
    <n v="799"/>
    <n v="1598"/>
  </r>
  <r>
    <d v="2025-12-06T00:00:00"/>
    <x v="0"/>
    <x v="0"/>
    <s v="West"/>
    <n v="8"/>
    <n v="999"/>
    <n v="7992"/>
  </r>
  <r>
    <d v="2025-02-15T00:00:00"/>
    <x v="2"/>
    <x v="1"/>
    <s v="East"/>
    <n v="1"/>
    <n v="1499"/>
    <n v="1499"/>
  </r>
  <r>
    <d v="2025-07-26T00:00:00"/>
    <x v="4"/>
    <x v="2"/>
    <s v="North"/>
    <n v="6"/>
    <n v="499"/>
    <n v="2994"/>
  </r>
  <r>
    <d v="2025-07-31T00:00:00"/>
    <x v="0"/>
    <x v="0"/>
    <s v="North"/>
    <n v="9"/>
    <n v="1499"/>
    <n v="13491"/>
  </r>
  <r>
    <d v="2025-11-15T00:00:00"/>
    <x v="1"/>
    <x v="1"/>
    <s v="West"/>
    <n v="9"/>
    <n v="999"/>
    <n v="8991"/>
  </r>
</pivotCacheRecords>
</file>

<file path=xl/pivotCache/pivotCacheRecords2.xml><?xml version="1.0" encoding="utf-8"?>
<pivotCacheRecords xmlns="http://schemas.openxmlformats.org/spreadsheetml/2006/main" xmlns:r="http://schemas.openxmlformats.org/officeDocument/2006/relationships" count="200">
  <r>
    <n v="1"/>
    <x v="0"/>
    <x v="0"/>
    <x v="0"/>
    <x v="0"/>
    <n v="2"/>
    <n v="499"/>
    <n v="998"/>
  </r>
  <r>
    <n v="2"/>
    <x v="1"/>
    <x v="1"/>
    <x v="1"/>
    <x v="1"/>
    <n v="3"/>
    <n v="4999"/>
    <n v="14997"/>
  </r>
  <r>
    <n v="3"/>
    <x v="2"/>
    <x v="2"/>
    <x v="1"/>
    <x v="1"/>
    <n v="7"/>
    <n v="499"/>
    <n v="3493"/>
  </r>
  <r>
    <n v="4"/>
    <x v="3"/>
    <x v="1"/>
    <x v="1"/>
    <x v="1"/>
    <n v="4"/>
    <n v="2499"/>
    <n v="9996"/>
  </r>
  <r>
    <n v="5"/>
    <x v="4"/>
    <x v="2"/>
    <x v="1"/>
    <x v="2"/>
    <n v="4"/>
    <n v="4999"/>
    <n v="19996"/>
  </r>
  <r>
    <n v="6"/>
    <x v="5"/>
    <x v="1"/>
    <x v="1"/>
    <x v="1"/>
    <n v="8"/>
    <n v="2499"/>
    <n v="19992"/>
  </r>
  <r>
    <n v="7"/>
    <x v="5"/>
    <x v="1"/>
    <x v="1"/>
    <x v="0"/>
    <n v="7"/>
    <n v="999"/>
    <n v="6993"/>
  </r>
  <r>
    <n v="8"/>
    <x v="6"/>
    <x v="1"/>
    <x v="1"/>
    <x v="2"/>
    <n v="6"/>
    <n v="499"/>
    <n v="2994"/>
  </r>
  <r>
    <n v="9"/>
    <x v="7"/>
    <x v="3"/>
    <x v="1"/>
    <x v="3"/>
    <n v="6"/>
    <n v="999"/>
    <n v="5994"/>
  </r>
  <r>
    <n v="10"/>
    <x v="8"/>
    <x v="3"/>
    <x v="1"/>
    <x v="2"/>
    <n v="8"/>
    <n v="2499"/>
    <n v="19992"/>
  </r>
  <r>
    <n v="11"/>
    <x v="9"/>
    <x v="3"/>
    <x v="1"/>
    <x v="3"/>
    <n v="9"/>
    <n v="999"/>
    <n v="8991"/>
  </r>
  <r>
    <n v="12"/>
    <x v="10"/>
    <x v="2"/>
    <x v="1"/>
    <x v="1"/>
    <n v="4"/>
    <n v="4999"/>
    <n v="19996"/>
  </r>
  <r>
    <n v="13"/>
    <x v="11"/>
    <x v="0"/>
    <x v="0"/>
    <x v="0"/>
    <n v="4"/>
    <n v="999"/>
    <n v="3996"/>
  </r>
  <r>
    <n v="14"/>
    <x v="12"/>
    <x v="3"/>
    <x v="1"/>
    <x v="3"/>
    <n v="7"/>
    <n v="999"/>
    <n v="6993"/>
  </r>
  <r>
    <n v="15"/>
    <x v="13"/>
    <x v="1"/>
    <x v="1"/>
    <x v="3"/>
    <n v="6"/>
    <n v="999"/>
    <n v="5994"/>
  </r>
  <r>
    <n v="16"/>
    <x v="14"/>
    <x v="0"/>
    <x v="0"/>
    <x v="0"/>
    <n v="2"/>
    <n v="2499"/>
    <n v="4998"/>
  </r>
  <r>
    <n v="17"/>
    <x v="15"/>
    <x v="2"/>
    <x v="1"/>
    <x v="2"/>
    <n v="4"/>
    <n v="799"/>
    <n v="3196"/>
  </r>
  <r>
    <n v="18"/>
    <x v="16"/>
    <x v="4"/>
    <x v="2"/>
    <x v="3"/>
    <n v="9"/>
    <n v="799"/>
    <n v="7191"/>
  </r>
  <r>
    <n v="19"/>
    <x v="17"/>
    <x v="3"/>
    <x v="1"/>
    <x v="2"/>
    <n v="4"/>
    <n v="499"/>
    <n v="1996"/>
  </r>
  <r>
    <n v="20"/>
    <x v="18"/>
    <x v="4"/>
    <x v="2"/>
    <x v="3"/>
    <n v="2"/>
    <n v="799"/>
    <n v="1598"/>
  </r>
  <r>
    <n v="21"/>
    <x v="19"/>
    <x v="1"/>
    <x v="1"/>
    <x v="2"/>
    <n v="8"/>
    <n v="1499"/>
    <n v="11992"/>
  </r>
  <r>
    <n v="22"/>
    <x v="20"/>
    <x v="1"/>
    <x v="1"/>
    <x v="3"/>
    <n v="5"/>
    <n v="799"/>
    <n v="3995"/>
  </r>
  <r>
    <n v="23"/>
    <x v="21"/>
    <x v="0"/>
    <x v="0"/>
    <x v="2"/>
    <n v="10"/>
    <n v="1499"/>
    <n v="14990"/>
  </r>
  <r>
    <n v="24"/>
    <x v="22"/>
    <x v="4"/>
    <x v="2"/>
    <x v="2"/>
    <n v="4"/>
    <n v="799"/>
    <n v="3196"/>
  </r>
  <r>
    <n v="25"/>
    <x v="23"/>
    <x v="3"/>
    <x v="1"/>
    <x v="0"/>
    <n v="1"/>
    <n v="499"/>
    <n v="499"/>
  </r>
  <r>
    <n v="26"/>
    <x v="24"/>
    <x v="0"/>
    <x v="0"/>
    <x v="2"/>
    <n v="7"/>
    <n v="2499"/>
    <n v="17493"/>
  </r>
  <r>
    <n v="27"/>
    <x v="25"/>
    <x v="5"/>
    <x v="2"/>
    <x v="3"/>
    <n v="10"/>
    <n v="1499"/>
    <n v="14990"/>
  </r>
  <r>
    <n v="28"/>
    <x v="26"/>
    <x v="2"/>
    <x v="1"/>
    <x v="3"/>
    <n v="1"/>
    <n v="4999"/>
    <n v="4999"/>
  </r>
  <r>
    <n v="29"/>
    <x v="27"/>
    <x v="0"/>
    <x v="0"/>
    <x v="2"/>
    <n v="6"/>
    <n v="499"/>
    <n v="2994"/>
  </r>
  <r>
    <n v="30"/>
    <x v="28"/>
    <x v="1"/>
    <x v="1"/>
    <x v="0"/>
    <n v="8"/>
    <n v="499"/>
    <n v="3992"/>
  </r>
  <r>
    <n v="31"/>
    <x v="29"/>
    <x v="2"/>
    <x v="1"/>
    <x v="0"/>
    <n v="2"/>
    <n v="4999"/>
    <n v="9998"/>
  </r>
  <r>
    <n v="32"/>
    <x v="30"/>
    <x v="1"/>
    <x v="1"/>
    <x v="1"/>
    <n v="6"/>
    <n v="799"/>
    <n v="4794"/>
  </r>
  <r>
    <n v="33"/>
    <x v="31"/>
    <x v="2"/>
    <x v="1"/>
    <x v="1"/>
    <n v="6"/>
    <n v="1499"/>
    <n v="8994"/>
  </r>
  <r>
    <n v="34"/>
    <x v="32"/>
    <x v="4"/>
    <x v="2"/>
    <x v="0"/>
    <n v="5"/>
    <n v="799"/>
    <n v="3995"/>
  </r>
  <r>
    <n v="35"/>
    <x v="33"/>
    <x v="2"/>
    <x v="1"/>
    <x v="1"/>
    <n v="2"/>
    <n v="499"/>
    <n v="998"/>
  </r>
  <r>
    <n v="36"/>
    <x v="34"/>
    <x v="2"/>
    <x v="1"/>
    <x v="2"/>
    <n v="3"/>
    <n v="799"/>
    <n v="2397"/>
  </r>
  <r>
    <n v="37"/>
    <x v="25"/>
    <x v="2"/>
    <x v="1"/>
    <x v="2"/>
    <n v="3"/>
    <n v="999"/>
    <n v="2997"/>
  </r>
  <r>
    <n v="38"/>
    <x v="35"/>
    <x v="1"/>
    <x v="1"/>
    <x v="0"/>
    <n v="9"/>
    <n v="4999"/>
    <n v="44991"/>
  </r>
  <r>
    <n v="39"/>
    <x v="36"/>
    <x v="0"/>
    <x v="0"/>
    <x v="3"/>
    <n v="5"/>
    <n v="1499"/>
    <n v="7495"/>
  </r>
  <r>
    <n v="40"/>
    <x v="37"/>
    <x v="5"/>
    <x v="2"/>
    <x v="0"/>
    <n v="9"/>
    <n v="1499"/>
    <n v="13491"/>
  </r>
  <r>
    <n v="41"/>
    <x v="38"/>
    <x v="1"/>
    <x v="1"/>
    <x v="0"/>
    <n v="2"/>
    <n v="999"/>
    <n v="1998"/>
  </r>
  <r>
    <n v="42"/>
    <x v="39"/>
    <x v="2"/>
    <x v="1"/>
    <x v="1"/>
    <n v="4"/>
    <n v="499"/>
    <n v="1996"/>
  </r>
  <r>
    <n v="43"/>
    <x v="40"/>
    <x v="1"/>
    <x v="1"/>
    <x v="1"/>
    <n v="2"/>
    <n v="499"/>
    <n v="998"/>
  </r>
  <r>
    <n v="44"/>
    <x v="41"/>
    <x v="2"/>
    <x v="1"/>
    <x v="2"/>
    <n v="4"/>
    <n v="999"/>
    <n v="3996"/>
  </r>
  <r>
    <n v="45"/>
    <x v="42"/>
    <x v="1"/>
    <x v="1"/>
    <x v="2"/>
    <n v="9"/>
    <n v="799"/>
    <n v="7191"/>
  </r>
  <r>
    <n v="46"/>
    <x v="43"/>
    <x v="1"/>
    <x v="1"/>
    <x v="1"/>
    <n v="8"/>
    <n v="1499"/>
    <n v="11992"/>
  </r>
  <r>
    <n v="47"/>
    <x v="44"/>
    <x v="3"/>
    <x v="1"/>
    <x v="2"/>
    <n v="7"/>
    <n v="999"/>
    <n v="6993"/>
  </r>
  <r>
    <n v="48"/>
    <x v="45"/>
    <x v="5"/>
    <x v="2"/>
    <x v="1"/>
    <n v="1"/>
    <n v="4999"/>
    <n v="4999"/>
  </r>
  <r>
    <n v="49"/>
    <x v="46"/>
    <x v="3"/>
    <x v="1"/>
    <x v="1"/>
    <n v="7"/>
    <n v="4999"/>
    <n v="34993"/>
  </r>
  <r>
    <n v="50"/>
    <x v="47"/>
    <x v="1"/>
    <x v="1"/>
    <x v="2"/>
    <n v="4"/>
    <n v="799"/>
    <n v="3196"/>
  </r>
  <r>
    <n v="51"/>
    <x v="5"/>
    <x v="1"/>
    <x v="1"/>
    <x v="2"/>
    <n v="7"/>
    <n v="799"/>
    <n v="5593"/>
  </r>
  <r>
    <n v="52"/>
    <x v="48"/>
    <x v="1"/>
    <x v="1"/>
    <x v="1"/>
    <n v="2"/>
    <n v="1499"/>
    <n v="2998"/>
  </r>
  <r>
    <n v="53"/>
    <x v="6"/>
    <x v="3"/>
    <x v="1"/>
    <x v="0"/>
    <n v="9"/>
    <n v="499"/>
    <n v="4491"/>
  </r>
  <r>
    <n v="54"/>
    <x v="49"/>
    <x v="1"/>
    <x v="1"/>
    <x v="0"/>
    <n v="7"/>
    <n v="1499"/>
    <n v="10493"/>
  </r>
  <r>
    <n v="55"/>
    <x v="50"/>
    <x v="5"/>
    <x v="2"/>
    <x v="1"/>
    <n v="1"/>
    <n v="799"/>
    <n v="799"/>
  </r>
  <r>
    <n v="56"/>
    <x v="51"/>
    <x v="5"/>
    <x v="2"/>
    <x v="2"/>
    <n v="5"/>
    <n v="1499"/>
    <n v="7495"/>
  </r>
  <r>
    <n v="57"/>
    <x v="52"/>
    <x v="0"/>
    <x v="0"/>
    <x v="0"/>
    <n v="9"/>
    <n v="4999"/>
    <n v="44991"/>
  </r>
  <r>
    <n v="58"/>
    <x v="32"/>
    <x v="1"/>
    <x v="1"/>
    <x v="1"/>
    <n v="5"/>
    <n v="799"/>
    <n v="3995"/>
  </r>
  <r>
    <n v="59"/>
    <x v="53"/>
    <x v="0"/>
    <x v="0"/>
    <x v="2"/>
    <n v="6"/>
    <n v="499"/>
    <n v="2994"/>
  </r>
  <r>
    <n v="60"/>
    <x v="32"/>
    <x v="2"/>
    <x v="1"/>
    <x v="1"/>
    <n v="9"/>
    <n v="799"/>
    <n v="7191"/>
  </r>
  <r>
    <n v="61"/>
    <x v="54"/>
    <x v="1"/>
    <x v="1"/>
    <x v="0"/>
    <n v="2"/>
    <n v="2499"/>
    <n v="4998"/>
  </r>
  <r>
    <n v="62"/>
    <x v="20"/>
    <x v="5"/>
    <x v="2"/>
    <x v="1"/>
    <n v="2"/>
    <n v="2499"/>
    <n v="4998"/>
  </r>
  <r>
    <n v="63"/>
    <x v="55"/>
    <x v="2"/>
    <x v="1"/>
    <x v="3"/>
    <n v="2"/>
    <n v="1499"/>
    <n v="2998"/>
  </r>
  <r>
    <n v="64"/>
    <x v="56"/>
    <x v="4"/>
    <x v="2"/>
    <x v="0"/>
    <n v="4"/>
    <n v="4999"/>
    <n v="19996"/>
  </r>
  <r>
    <n v="65"/>
    <x v="36"/>
    <x v="4"/>
    <x v="2"/>
    <x v="3"/>
    <n v="7"/>
    <n v="799"/>
    <n v="5593"/>
  </r>
  <r>
    <n v="66"/>
    <x v="57"/>
    <x v="5"/>
    <x v="2"/>
    <x v="2"/>
    <n v="6"/>
    <n v="499"/>
    <n v="2994"/>
  </r>
  <r>
    <n v="67"/>
    <x v="58"/>
    <x v="2"/>
    <x v="1"/>
    <x v="0"/>
    <n v="10"/>
    <n v="499"/>
    <n v="4990"/>
  </r>
  <r>
    <n v="68"/>
    <x v="59"/>
    <x v="2"/>
    <x v="1"/>
    <x v="1"/>
    <n v="5"/>
    <n v="799"/>
    <n v="3995"/>
  </r>
  <r>
    <n v="69"/>
    <x v="60"/>
    <x v="1"/>
    <x v="1"/>
    <x v="2"/>
    <n v="6"/>
    <n v="999"/>
    <n v="5994"/>
  </r>
  <r>
    <n v="70"/>
    <x v="45"/>
    <x v="2"/>
    <x v="1"/>
    <x v="1"/>
    <n v="5"/>
    <n v="2499"/>
    <n v="12495"/>
  </r>
  <r>
    <n v="71"/>
    <x v="61"/>
    <x v="0"/>
    <x v="0"/>
    <x v="1"/>
    <n v="9"/>
    <n v="999"/>
    <n v="8991"/>
  </r>
  <r>
    <n v="72"/>
    <x v="62"/>
    <x v="1"/>
    <x v="1"/>
    <x v="0"/>
    <n v="5"/>
    <n v="499"/>
    <n v="2495"/>
  </r>
  <r>
    <n v="73"/>
    <x v="13"/>
    <x v="4"/>
    <x v="2"/>
    <x v="3"/>
    <n v="5"/>
    <n v="2499"/>
    <n v="12495"/>
  </r>
  <r>
    <n v="74"/>
    <x v="63"/>
    <x v="1"/>
    <x v="1"/>
    <x v="3"/>
    <n v="5"/>
    <n v="2499"/>
    <n v="12495"/>
  </r>
  <r>
    <n v="75"/>
    <x v="44"/>
    <x v="3"/>
    <x v="1"/>
    <x v="3"/>
    <n v="2"/>
    <n v="4999"/>
    <n v="9998"/>
  </r>
  <r>
    <n v="76"/>
    <x v="64"/>
    <x v="3"/>
    <x v="1"/>
    <x v="3"/>
    <n v="1"/>
    <n v="999"/>
    <n v="999"/>
  </r>
  <r>
    <n v="77"/>
    <x v="65"/>
    <x v="1"/>
    <x v="1"/>
    <x v="2"/>
    <n v="8"/>
    <n v="2499"/>
    <n v="19992"/>
  </r>
  <r>
    <n v="78"/>
    <x v="66"/>
    <x v="2"/>
    <x v="1"/>
    <x v="0"/>
    <n v="1"/>
    <n v="499"/>
    <n v="499"/>
  </r>
  <r>
    <n v="79"/>
    <x v="21"/>
    <x v="2"/>
    <x v="1"/>
    <x v="0"/>
    <n v="1"/>
    <n v="999"/>
    <n v="999"/>
  </r>
  <r>
    <n v="80"/>
    <x v="67"/>
    <x v="5"/>
    <x v="2"/>
    <x v="3"/>
    <n v="3"/>
    <n v="499"/>
    <n v="1497"/>
  </r>
  <r>
    <n v="81"/>
    <x v="68"/>
    <x v="3"/>
    <x v="1"/>
    <x v="0"/>
    <n v="6"/>
    <n v="799"/>
    <n v="4794"/>
  </r>
  <r>
    <n v="82"/>
    <x v="69"/>
    <x v="0"/>
    <x v="0"/>
    <x v="2"/>
    <n v="2"/>
    <n v="999"/>
    <n v="1998"/>
  </r>
  <r>
    <n v="83"/>
    <x v="70"/>
    <x v="2"/>
    <x v="1"/>
    <x v="0"/>
    <n v="3"/>
    <n v="799"/>
    <n v="2397"/>
  </r>
  <r>
    <n v="84"/>
    <x v="71"/>
    <x v="5"/>
    <x v="2"/>
    <x v="2"/>
    <n v="1"/>
    <n v="799"/>
    <n v="799"/>
  </r>
  <r>
    <n v="85"/>
    <x v="72"/>
    <x v="0"/>
    <x v="0"/>
    <x v="1"/>
    <n v="4"/>
    <n v="999"/>
    <n v="3996"/>
  </r>
  <r>
    <n v="86"/>
    <x v="73"/>
    <x v="5"/>
    <x v="2"/>
    <x v="0"/>
    <n v="1"/>
    <n v="1499"/>
    <n v="1499"/>
  </r>
  <r>
    <n v="87"/>
    <x v="74"/>
    <x v="5"/>
    <x v="2"/>
    <x v="0"/>
    <n v="6"/>
    <n v="999"/>
    <n v="5994"/>
  </r>
  <r>
    <n v="88"/>
    <x v="75"/>
    <x v="3"/>
    <x v="1"/>
    <x v="3"/>
    <n v="4"/>
    <n v="1499"/>
    <n v="5996"/>
  </r>
  <r>
    <n v="89"/>
    <x v="76"/>
    <x v="3"/>
    <x v="1"/>
    <x v="2"/>
    <n v="5"/>
    <n v="999"/>
    <n v="4995"/>
  </r>
  <r>
    <n v="90"/>
    <x v="77"/>
    <x v="0"/>
    <x v="0"/>
    <x v="1"/>
    <n v="9"/>
    <n v="999"/>
    <n v="8991"/>
  </r>
  <r>
    <n v="91"/>
    <x v="78"/>
    <x v="4"/>
    <x v="2"/>
    <x v="1"/>
    <n v="3"/>
    <n v="2499"/>
    <n v="7497"/>
  </r>
  <r>
    <n v="92"/>
    <x v="79"/>
    <x v="3"/>
    <x v="1"/>
    <x v="3"/>
    <n v="10"/>
    <n v="1499"/>
    <n v="14990"/>
  </r>
  <r>
    <n v="93"/>
    <x v="80"/>
    <x v="5"/>
    <x v="2"/>
    <x v="2"/>
    <n v="10"/>
    <n v="2499"/>
    <n v="24990"/>
  </r>
  <r>
    <n v="94"/>
    <x v="81"/>
    <x v="2"/>
    <x v="1"/>
    <x v="2"/>
    <n v="4"/>
    <n v="999"/>
    <n v="3996"/>
  </r>
  <r>
    <n v="95"/>
    <x v="82"/>
    <x v="3"/>
    <x v="1"/>
    <x v="0"/>
    <n v="9"/>
    <n v="2499"/>
    <n v="22491"/>
  </r>
  <r>
    <n v="96"/>
    <x v="83"/>
    <x v="4"/>
    <x v="2"/>
    <x v="3"/>
    <n v="7"/>
    <n v="499"/>
    <n v="3493"/>
  </r>
  <r>
    <n v="97"/>
    <x v="8"/>
    <x v="2"/>
    <x v="1"/>
    <x v="3"/>
    <n v="6"/>
    <n v="4999"/>
    <n v="29994"/>
  </r>
  <r>
    <n v="98"/>
    <x v="84"/>
    <x v="2"/>
    <x v="1"/>
    <x v="3"/>
    <n v="5"/>
    <n v="4999"/>
    <n v="24995"/>
  </r>
  <r>
    <n v="99"/>
    <x v="85"/>
    <x v="5"/>
    <x v="2"/>
    <x v="0"/>
    <n v="5"/>
    <n v="2499"/>
    <n v="12495"/>
  </r>
  <r>
    <n v="100"/>
    <x v="86"/>
    <x v="5"/>
    <x v="2"/>
    <x v="3"/>
    <n v="7"/>
    <n v="4999"/>
    <n v="34993"/>
  </r>
  <r>
    <n v="101"/>
    <x v="87"/>
    <x v="5"/>
    <x v="2"/>
    <x v="3"/>
    <n v="9"/>
    <n v="499"/>
    <n v="4491"/>
  </r>
  <r>
    <n v="102"/>
    <x v="88"/>
    <x v="1"/>
    <x v="1"/>
    <x v="3"/>
    <n v="7"/>
    <n v="2499"/>
    <n v="17493"/>
  </r>
  <r>
    <n v="103"/>
    <x v="89"/>
    <x v="5"/>
    <x v="2"/>
    <x v="0"/>
    <n v="8"/>
    <n v="1499"/>
    <n v="11992"/>
  </r>
  <r>
    <n v="104"/>
    <x v="90"/>
    <x v="2"/>
    <x v="1"/>
    <x v="1"/>
    <n v="8"/>
    <n v="4999"/>
    <n v="39992"/>
  </r>
  <r>
    <n v="105"/>
    <x v="91"/>
    <x v="4"/>
    <x v="2"/>
    <x v="3"/>
    <n v="9"/>
    <n v="4999"/>
    <n v="44991"/>
  </r>
  <r>
    <n v="106"/>
    <x v="92"/>
    <x v="3"/>
    <x v="1"/>
    <x v="0"/>
    <n v="4"/>
    <n v="4999"/>
    <n v="19996"/>
  </r>
  <r>
    <n v="107"/>
    <x v="93"/>
    <x v="1"/>
    <x v="1"/>
    <x v="0"/>
    <n v="3"/>
    <n v="499"/>
    <n v="1497"/>
  </r>
  <r>
    <n v="108"/>
    <x v="94"/>
    <x v="5"/>
    <x v="2"/>
    <x v="2"/>
    <n v="10"/>
    <n v="499"/>
    <n v="4990"/>
  </r>
  <r>
    <n v="109"/>
    <x v="95"/>
    <x v="0"/>
    <x v="0"/>
    <x v="2"/>
    <n v="10"/>
    <n v="799"/>
    <n v="7990"/>
  </r>
  <r>
    <n v="110"/>
    <x v="96"/>
    <x v="5"/>
    <x v="2"/>
    <x v="1"/>
    <n v="7"/>
    <n v="799"/>
    <n v="5593"/>
  </r>
  <r>
    <n v="111"/>
    <x v="97"/>
    <x v="3"/>
    <x v="1"/>
    <x v="2"/>
    <n v="7"/>
    <n v="799"/>
    <n v="5593"/>
  </r>
  <r>
    <n v="112"/>
    <x v="98"/>
    <x v="3"/>
    <x v="1"/>
    <x v="2"/>
    <n v="9"/>
    <n v="799"/>
    <n v="7191"/>
  </r>
  <r>
    <n v="113"/>
    <x v="99"/>
    <x v="1"/>
    <x v="1"/>
    <x v="3"/>
    <n v="8"/>
    <n v="4999"/>
    <n v="39992"/>
  </r>
  <r>
    <n v="114"/>
    <x v="100"/>
    <x v="5"/>
    <x v="2"/>
    <x v="2"/>
    <n v="10"/>
    <n v="4999"/>
    <n v="49990"/>
  </r>
  <r>
    <n v="115"/>
    <x v="101"/>
    <x v="2"/>
    <x v="1"/>
    <x v="2"/>
    <n v="8"/>
    <n v="799"/>
    <n v="6392"/>
  </r>
  <r>
    <n v="116"/>
    <x v="102"/>
    <x v="4"/>
    <x v="2"/>
    <x v="2"/>
    <n v="4"/>
    <n v="4999"/>
    <n v="19996"/>
  </r>
  <r>
    <n v="117"/>
    <x v="103"/>
    <x v="0"/>
    <x v="0"/>
    <x v="1"/>
    <n v="4"/>
    <n v="999"/>
    <n v="3996"/>
  </r>
  <r>
    <n v="118"/>
    <x v="104"/>
    <x v="0"/>
    <x v="0"/>
    <x v="3"/>
    <n v="5"/>
    <n v="799"/>
    <n v="3995"/>
  </r>
  <r>
    <n v="119"/>
    <x v="105"/>
    <x v="4"/>
    <x v="2"/>
    <x v="0"/>
    <n v="9"/>
    <n v="499"/>
    <n v="4491"/>
  </r>
  <r>
    <n v="120"/>
    <x v="23"/>
    <x v="1"/>
    <x v="1"/>
    <x v="0"/>
    <n v="7"/>
    <n v="4999"/>
    <n v="34993"/>
  </r>
  <r>
    <n v="121"/>
    <x v="40"/>
    <x v="3"/>
    <x v="1"/>
    <x v="2"/>
    <n v="7"/>
    <n v="1499"/>
    <n v="10493"/>
  </r>
  <r>
    <n v="122"/>
    <x v="106"/>
    <x v="5"/>
    <x v="2"/>
    <x v="2"/>
    <n v="1"/>
    <n v="799"/>
    <n v="799"/>
  </r>
  <r>
    <n v="123"/>
    <x v="50"/>
    <x v="2"/>
    <x v="1"/>
    <x v="2"/>
    <n v="1"/>
    <n v="2499"/>
    <n v="2499"/>
  </r>
  <r>
    <n v="124"/>
    <x v="107"/>
    <x v="3"/>
    <x v="1"/>
    <x v="2"/>
    <n v="6"/>
    <n v="999"/>
    <n v="5994"/>
  </r>
  <r>
    <n v="125"/>
    <x v="108"/>
    <x v="2"/>
    <x v="1"/>
    <x v="2"/>
    <n v="9"/>
    <n v="2499"/>
    <n v="22491"/>
  </r>
  <r>
    <n v="126"/>
    <x v="33"/>
    <x v="1"/>
    <x v="1"/>
    <x v="1"/>
    <n v="5"/>
    <n v="1499"/>
    <n v="7495"/>
  </r>
  <r>
    <n v="127"/>
    <x v="109"/>
    <x v="5"/>
    <x v="2"/>
    <x v="2"/>
    <n v="6"/>
    <n v="4999"/>
    <n v="29994"/>
  </r>
  <r>
    <n v="128"/>
    <x v="85"/>
    <x v="0"/>
    <x v="0"/>
    <x v="1"/>
    <n v="3"/>
    <n v="1499"/>
    <n v="4497"/>
  </r>
  <r>
    <n v="129"/>
    <x v="61"/>
    <x v="5"/>
    <x v="2"/>
    <x v="1"/>
    <n v="10"/>
    <n v="2499"/>
    <n v="24990"/>
  </r>
  <r>
    <n v="130"/>
    <x v="15"/>
    <x v="3"/>
    <x v="1"/>
    <x v="0"/>
    <n v="7"/>
    <n v="799"/>
    <n v="5593"/>
  </r>
  <r>
    <n v="131"/>
    <x v="110"/>
    <x v="3"/>
    <x v="1"/>
    <x v="0"/>
    <n v="5"/>
    <n v="1499"/>
    <n v="7495"/>
  </r>
  <r>
    <n v="132"/>
    <x v="50"/>
    <x v="5"/>
    <x v="2"/>
    <x v="3"/>
    <n v="6"/>
    <n v="999"/>
    <n v="5994"/>
  </r>
  <r>
    <n v="133"/>
    <x v="111"/>
    <x v="5"/>
    <x v="2"/>
    <x v="1"/>
    <n v="5"/>
    <n v="499"/>
    <n v="2495"/>
  </r>
  <r>
    <n v="134"/>
    <x v="112"/>
    <x v="0"/>
    <x v="0"/>
    <x v="0"/>
    <n v="9"/>
    <n v="499"/>
    <n v="4491"/>
  </r>
  <r>
    <n v="135"/>
    <x v="113"/>
    <x v="0"/>
    <x v="0"/>
    <x v="1"/>
    <n v="2"/>
    <n v="4999"/>
    <n v="9998"/>
  </r>
  <r>
    <n v="136"/>
    <x v="114"/>
    <x v="1"/>
    <x v="1"/>
    <x v="0"/>
    <n v="4"/>
    <n v="499"/>
    <n v="1996"/>
  </r>
  <r>
    <n v="137"/>
    <x v="41"/>
    <x v="1"/>
    <x v="1"/>
    <x v="1"/>
    <n v="3"/>
    <n v="1499"/>
    <n v="4497"/>
  </r>
  <r>
    <n v="138"/>
    <x v="115"/>
    <x v="2"/>
    <x v="1"/>
    <x v="3"/>
    <n v="4"/>
    <n v="1499"/>
    <n v="5996"/>
  </r>
  <r>
    <n v="139"/>
    <x v="88"/>
    <x v="4"/>
    <x v="2"/>
    <x v="1"/>
    <n v="3"/>
    <n v="2499"/>
    <n v="7497"/>
  </r>
  <r>
    <n v="140"/>
    <x v="116"/>
    <x v="1"/>
    <x v="1"/>
    <x v="1"/>
    <n v="5"/>
    <n v="499"/>
    <n v="2495"/>
  </r>
  <r>
    <n v="141"/>
    <x v="117"/>
    <x v="4"/>
    <x v="2"/>
    <x v="2"/>
    <n v="10"/>
    <n v="4999"/>
    <n v="49990"/>
  </r>
  <r>
    <n v="142"/>
    <x v="118"/>
    <x v="0"/>
    <x v="0"/>
    <x v="0"/>
    <n v="4"/>
    <n v="499"/>
    <n v="1996"/>
  </r>
  <r>
    <n v="143"/>
    <x v="119"/>
    <x v="3"/>
    <x v="1"/>
    <x v="1"/>
    <n v="5"/>
    <n v="4999"/>
    <n v="24995"/>
  </r>
  <r>
    <n v="144"/>
    <x v="120"/>
    <x v="2"/>
    <x v="1"/>
    <x v="2"/>
    <n v="1"/>
    <n v="999"/>
    <n v="999"/>
  </r>
  <r>
    <n v="145"/>
    <x v="121"/>
    <x v="0"/>
    <x v="0"/>
    <x v="3"/>
    <n v="6"/>
    <n v="499"/>
    <n v="2994"/>
  </r>
  <r>
    <n v="146"/>
    <x v="62"/>
    <x v="3"/>
    <x v="1"/>
    <x v="2"/>
    <n v="7"/>
    <n v="1499"/>
    <n v="10493"/>
  </r>
  <r>
    <n v="147"/>
    <x v="23"/>
    <x v="4"/>
    <x v="2"/>
    <x v="2"/>
    <n v="8"/>
    <n v="4999"/>
    <n v="39992"/>
  </r>
  <r>
    <n v="148"/>
    <x v="122"/>
    <x v="1"/>
    <x v="1"/>
    <x v="2"/>
    <n v="9"/>
    <n v="4999"/>
    <n v="44991"/>
  </r>
  <r>
    <n v="149"/>
    <x v="118"/>
    <x v="5"/>
    <x v="2"/>
    <x v="3"/>
    <n v="7"/>
    <n v="4999"/>
    <n v="34993"/>
  </r>
  <r>
    <n v="150"/>
    <x v="5"/>
    <x v="4"/>
    <x v="2"/>
    <x v="2"/>
    <n v="4"/>
    <n v="499"/>
    <n v="1996"/>
  </r>
  <r>
    <n v="151"/>
    <x v="123"/>
    <x v="1"/>
    <x v="1"/>
    <x v="2"/>
    <n v="8"/>
    <n v="2499"/>
    <n v="19992"/>
  </r>
  <r>
    <n v="152"/>
    <x v="124"/>
    <x v="4"/>
    <x v="2"/>
    <x v="0"/>
    <n v="1"/>
    <n v="1499"/>
    <n v="1499"/>
  </r>
  <r>
    <n v="153"/>
    <x v="125"/>
    <x v="5"/>
    <x v="2"/>
    <x v="3"/>
    <n v="4"/>
    <n v="999"/>
    <n v="3996"/>
  </r>
  <r>
    <n v="154"/>
    <x v="102"/>
    <x v="4"/>
    <x v="2"/>
    <x v="1"/>
    <n v="10"/>
    <n v="4999"/>
    <n v="49990"/>
  </r>
  <r>
    <n v="155"/>
    <x v="126"/>
    <x v="2"/>
    <x v="1"/>
    <x v="2"/>
    <n v="4"/>
    <n v="499"/>
    <n v="1996"/>
  </r>
  <r>
    <n v="156"/>
    <x v="35"/>
    <x v="5"/>
    <x v="2"/>
    <x v="2"/>
    <n v="9"/>
    <n v="799"/>
    <n v="7191"/>
  </r>
  <r>
    <n v="157"/>
    <x v="127"/>
    <x v="0"/>
    <x v="0"/>
    <x v="1"/>
    <n v="8"/>
    <n v="1499"/>
    <n v="11992"/>
  </r>
  <r>
    <n v="158"/>
    <x v="128"/>
    <x v="4"/>
    <x v="2"/>
    <x v="0"/>
    <n v="4"/>
    <n v="1499"/>
    <n v="5996"/>
  </r>
  <r>
    <n v="159"/>
    <x v="129"/>
    <x v="4"/>
    <x v="2"/>
    <x v="3"/>
    <n v="10"/>
    <n v="999"/>
    <n v="9990"/>
  </r>
  <r>
    <n v="160"/>
    <x v="130"/>
    <x v="5"/>
    <x v="2"/>
    <x v="2"/>
    <n v="9"/>
    <n v="999"/>
    <n v="8991"/>
  </r>
  <r>
    <n v="161"/>
    <x v="131"/>
    <x v="4"/>
    <x v="2"/>
    <x v="1"/>
    <n v="5"/>
    <n v="999"/>
    <n v="4995"/>
  </r>
  <r>
    <n v="162"/>
    <x v="37"/>
    <x v="0"/>
    <x v="0"/>
    <x v="0"/>
    <n v="4"/>
    <n v="999"/>
    <n v="3996"/>
  </r>
  <r>
    <n v="163"/>
    <x v="132"/>
    <x v="1"/>
    <x v="1"/>
    <x v="3"/>
    <n v="4"/>
    <n v="4999"/>
    <n v="19996"/>
  </r>
  <r>
    <n v="164"/>
    <x v="133"/>
    <x v="0"/>
    <x v="0"/>
    <x v="3"/>
    <n v="10"/>
    <n v="2499"/>
    <n v="24990"/>
  </r>
  <r>
    <n v="165"/>
    <x v="74"/>
    <x v="3"/>
    <x v="1"/>
    <x v="3"/>
    <n v="4"/>
    <n v="999"/>
    <n v="3996"/>
  </r>
  <r>
    <n v="166"/>
    <x v="134"/>
    <x v="1"/>
    <x v="1"/>
    <x v="0"/>
    <n v="5"/>
    <n v="499"/>
    <n v="2495"/>
  </r>
  <r>
    <n v="167"/>
    <x v="135"/>
    <x v="4"/>
    <x v="2"/>
    <x v="3"/>
    <n v="1"/>
    <n v="499"/>
    <n v="499"/>
  </r>
  <r>
    <n v="168"/>
    <x v="136"/>
    <x v="0"/>
    <x v="0"/>
    <x v="1"/>
    <n v="3"/>
    <n v="4999"/>
    <n v="14997"/>
  </r>
  <r>
    <n v="169"/>
    <x v="111"/>
    <x v="3"/>
    <x v="1"/>
    <x v="2"/>
    <n v="10"/>
    <n v="999"/>
    <n v="9990"/>
  </r>
  <r>
    <n v="170"/>
    <x v="137"/>
    <x v="5"/>
    <x v="2"/>
    <x v="3"/>
    <n v="6"/>
    <n v="799"/>
    <n v="4794"/>
  </r>
  <r>
    <n v="171"/>
    <x v="138"/>
    <x v="5"/>
    <x v="2"/>
    <x v="2"/>
    <n v="2"/>
    <n v="499"/>
    <n v="998"/>
  </r>
  <r>
    <n v="172"/>
    <x v="82"/>
    <x v="3"/>
    <x v="1"/>
    <x v="1"/>
    <n v="10"/>
    <n v="4999"/>
    <n v="49990"/>
  </r>
  <r>
    <n v="173"/>
    <x v="87"/>
    <x v="1"/>
    <x v="1"/>
    <x v="1"/>
    <n v="3"/>
    <n v="2499"/>
    <n v="7497"/>
  </r>
  <r>
    <n v="174"/>
    <x v="139"/>
    <x v="1"/>
    <x v="1"/>
    <x v="0"/>
    <n v="2"/>
    <n v="2499"/>
    <n v="4998"/>
  </r>
  <r>
    <n v="175"/>
    <x v="140"/>
    <x v="2"/>
    <x v="1"/>
    <x v="3"/>
    <n v="7"/>
    <n v="1499"/>
    <n v="10493"/>
  </r>
  <r>
    <n v="176"/>
    <x v="141"/>
    <x v="2"/>
    <x v="1"/>
    <x v="1"/>
    <n v="7"/>
    <n v="999"/>
    <n v="6993"/>
  </r>
  <r>
    <n v="177"/>
    <x v="142"/>
    <x v="2"/>
    <x v="1"/>
    <x v="0"/>
    <n v="2"/>
    <n v="799"/>
    <n v="1598"/>
  </r>
  <r>
    <n v="178"/>
    <x v="143"/>
    <x v="4"/>
    <x v="2"/>
    <x v="0"/>
    <n v="2"/>
    <n v="799"/>
    <n v="1598"/>
  </r>
  <r>
    <n v="179"/>
    <x v="144"/>
    <x v="2"/>
    <x v="1"/>
    <x v="2"/>
    <n v="2"/>
    <n v="799"/>
    <n v="1598"/>
  </r>
  <r>
    <n v="180"/>
    <x v="145"/>
    <x v="5"/>
    <x v="2"/>
    <x v="1"/>
    <n v="10"/>
    <n v="1499"/>
    <n v="14990"/>
  </r>
  <r>
    <n v="181"/>
    <x v="146"/>
    <x v="1"/>
    <x v="1"/>
    <x v="2"/>
    <n v="5"/>
    <n v="4999"/>
    <n v="24995"/>
  </r>
  <r>
    <n v="182"/>
    <x v="142"/>
    <x v="3"/>
    <x v="1"/>
    <x v="0"/>
    <n v="4"/>
    <n v="999"/>
    <n v="3996"/>
  </r>
  <r>
    <n v="183"/>
    <x v="147"/>
    <x v="5"/>
    <x v="2"/>
    <x v="0"/>
    <n v="2"/>
    <n v="2499"/>
    <n v="4998"/>
  </r>
  <r>
    <n v="184"/>
    <x v="148"/>
    <x v="4"/>
    <x v="2"/>
    <x v="0"/>
    <n v="3"/>
    <n v="499"/>
    <n v="1497"/>
  </r>
  <r>
    <n v="185"/>
    <x v="141"/>
    <x v="4"/>
    <x v="2"/>
    <x v="3"/>
    <n v="10"/>
    <n v="4999"/>
    <n v="49990"/>
  </r>
  <r>
    <n v="186"/>
    <x v="149"/>
    <x v="5"/>
    <x v="2"/>
    <x v="3"/>
    <n v="2"/>
    <n v="1499"/>
    <n v="2998"/>
  </r>
  <r>
    <n v="187"/>
    <x v="150"/>
    <x v="0"/>
    <x v="0"/>
    <x v="2"/>
    <n v="7"/>
    <n v="999"/>
    <n v="6993"/>
  </r>
  <r>
    <n v="188"/>
    <x v="113"/>
    <x v="5"/>
    <x v="2"/>
    <x v="2"/>
    <n v="2"/>
    <n v="2499"/>
    <n v="4998"/>
  </r>
  <r>
    <n v="189"/>
    <x v="151"/>
    <x v="0"/>
    <x v="0"/>
    <x v="1"/>
    <n v="6"/>
    <n v="2499"/>
    <n v="14994"/>
  </r>
  <r>
    <n v="190"/>
    <x v="152"/>
    <x v="3"/>
    <x v="1"/>
    <x v="1"/>
    <n v="4"/>
    <n v="4999"/>
    <n v="19996"/>
  </r>
  <r>
    <n v="191"/>
    <x v="113"/>
    <x v="0"/>
    <x v="0"/>
    <x v="0"/>
    <n v="5"/>
    <n v="2499"/>
    <n v="12495"/>
  </r>
  <r>
    <n v="192"/>
    <x v="140"/>
    <x v="5"/>
    <x v="2"/>
    <x v="3"/>
    <n v="9"/>
    <n v="4999"/>
    <n v="44991"/>
  </r>
  <r>
    <n v="193"/>
    <x v="14"/>
    <x v="1"/>
    <x v="1"/>
    <x v="2"/>
    <n v="10"/>
    <n v="1499"/>
    <n v="14990"/>
  </r>
  <r>
    <n v="194"/>
    <x v="84"/>
    <x v="3"/>
    <x v="1"/>
    <x v="3"/>
    <n v="8"/>
    <n v="999"/>
    <n v="7992"/>
  </r>
  <r>
    <n v="195"/>
    <x v="75"/>
    <x v="4"/>
    <x v="2"/>
    <x v="2"/>
    <n v="2"/>
    <n v="799"/>
    <n v="1598"/>
  </r>
  <r>
    <n v="196"/>
    <x v="61"/>
    <x v="0"/>
    <x v="0"/>
    <x v="2"/>
    <n v="8"/>
    <n v="999"/>
    <n v="7992"/>
  </r>
  <r>
    <n v="197"/>
    <x v="153"/>
    <x v="2"/>
    <x v="1"/>
    <x v="3"/>
    <n v="1"/>
    <n v="1499"/>
    <n v="1499"/>
  </r>
  <r>
    <n v="198"/>
    <x v="154"/>
    <x v="4"/>
    <x v="2"/>
    <x v="1"/>
    <n v="6"/>
    <n v="499"/>
    <n v="2994"/>
  </r>
  <r>
    <n v="199"/>
    <x v="155"/>
    <x v="0"/>
    <x v="0"/>
    <x v="1"/>
    <n v="9"/>
    <n v="1499"/>
    <n v="13491"/>
  </r>
  <r>
    <n v="200"/>
    <x v="114"/>
    <x v="1"/>
    <x v="1"/>
    <x v="2"/>
    <n v="9"/>
    <n v="999"/>
    <n v="8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2:P7"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3"/>
        <item x="1"/>
        <item x="0"/>
        <item x="2"/>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2:O6"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2"/>
        <item x="1"/>
        <item x="0"/>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2:N9" firstHeaderRow="1" firstDataRow="1" firstDataCol="1"/>
  <pivotFields count="7">
    <pivotField numFmtId="14" showAll="0"/>
    <pivotField axis="axisRow" showAll="0">
      <items count="7">
        <item x="1"/>
        <item x="4"/>
        <item x="3"/>
        <item x="2"/>
        <item x="5"/>
        <item x="0"/>
        <item t="default"/>
      </items>
    </pivotField>
    <pivotField showAll="0">
      <items count="4">
        <item x="2"/>
        <item x="1"/>
        <item x="0"/>
        <item t="default"/>
      </items>
    </pivotField>
    <pivotField showAll="0"/>
    <pivotField showAll="0"/>
    <pivotField showAll="0"/>
    <pivotField showAll="0"/>
  </pivotFields>
  <rowFields count="1">
    <field x="1"/>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K59:L66" firstHeaderRow="1" firstDataRow="1" firstDataCol="1"/>
  <pivotFields count="9">
    <pivotField showAll="0"/>
    <pivotField numFmtId="14" showAll="0"/>
    <pivotField axis="axisRow" showAll="0">
      <items count="7">
        <item x="1"/>
        <item x="4"/>
        <item x="3"/>
        <item x="2"/>
        <item x="5"/>
        <item x="0"/>
        <item t="default"/>
      </items>
    </pivotField>
    <pivotField showAll="0">
      <items count="4">
        <item x="2"/>
        <item x="1"/>
        <item x="0"/>
        <item t="default"/>
      </items>
    </pivotField>
    <pivotField showAll="0">
      <items count="5">
        <item x="3"/>
        <item x="1"/>
        <item x="0"/>
        <item x="2"/>
        <item t="default"/>
      </items>
    </pivotField>
    <pivotField showAll="0"/>
    <pivotField showAll="0"/>
    <pivotField dataField="1" showAll="0"/>
    <pivotField showAll="0" defaultSubtotal="0"/>
  </pivotFields>
  <rowFields count="1">
    <field x="2"/>
  </rowFields>
  <rowItems count="7">
    <i>
      <x/>
    </i>
    <i>
      <x v="1"/>
    </i>
    <i>
      <x v="2"/>
    </i>
    <i>
      <x v="3"/>
    </i>
    <i>
      <x v="4"/>
    </i>
    <i>
      <x v="5"/>
    </i>
    <i t="grand">
      <x/>
    </i>
  </rowItems>
  <colItems count="1">
    <i/>
  </colItems>
  <dataFields count="1">
    <dataField name="Sum of Sales"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K43:L47" firstHeaderRow="1" firstDataRow="1" firstDataCol="1"/>
  <pivotFields count="9">
    <pivotField showAll="0"/>
    <pivotField numFmtId="14" showAll="0"/>
    <pivotField showAll="0">
      <items count="7">
        <item x="1"/>
        <item x="4"/>
        <item x="3"/>
        <item x="2"/>
        <item x="5"/>
        <item x="0"/>
        <item t="default"/>
      </items>
    </pivotField>
    <pivotField axis="axisRow" showAll="0">
      <items count="4">
        <item x="2"/>
        <item x="1"/>
        <item x="0"/>
        <item t="default"/>
      </items>
    </pivotField>
    <pivotField showAll="0">
      <items count="5">
        <item x="3"/>
        <item x="1"/>
        <item x="0"/>
        <item x="2"/>
        <item t="default"/>
      </items>
    </pivotField>
    <pivotField showAll="0"/>
    <pivotField showAll="0"/>
    <pivotField dataField="1" showAll="0"/>
    <pivotField showAll="0" defaultSubtotal="0"/>
  </pivotFields>
  <rowFields count="1">
    <field x="3"/>
  </rowFields>
  <rowItems count="4">
    <i>
      <x/>
    </i>
    <i>
      <x v="1"/>
    </i>
    <i>
      <x v="2"/>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K28:L33" firstHeaderRow="1" firstDataRow="1" firstDataCol="1"/>
  <pivotFields count="9">
    <pivotField showAll="0"/>
    <pivotField numFmtId="14" showAll="0"/>
    <pivotField showAll="0">
      <items count="7">
        <item x="1"/>
        <item x="4"/>
        <item x="3"/>
        <item x="2"/>
        <item x="5"/>
        <item x="0"/>
        <item t="default"/>
      </items>
    </pivotField>
    <pivotField showAll="0">
      <items count="4">
        <item x="2"/>
        <item x="1"/>
        <item x="0"/>
        <item t="default"/>
      </items>
    </pivotField>
    <pivotField axis="axisRow" showAll="0">
      <items count="5">
        <item x="3"/>
        <item x="1"/>
        <item x="0"/>
        <item x="2"/>
        <item t="default"/>
      </items>
    </pivotField>
    <pivotField showAll="0"/>
    <pivotField showAll="0"/>
    <pivotField dataField="1" showAll="0"/>
    <pivotField showAll="0" defaultSubtotal="0"/>
  </pivotFields>
  <rowFields count="1">
    <field x="4"/>
  </rowFields>
  <rowItems count="5">
    <i>
      <x/>
    </i>
    <i>
      <x v="1"/>
    </i>
    <i>
      <x v="2"/>
    </i>
    <i>
      <x v="3"/>
    </i>
    <i t="grand">
      <x/>
    </i>
  </rowItems>
  <colItems count="1">
    <i/>
  </colItems>
  <dataFields count="1">
    <dataField name="Sum of Sales"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K12:L25" firstHeaderRow="1" firstDataRow="1" firstDataCol="1"/>
  <pivotFields count="9">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4"/>
        <item x="3"/>
        <item x="2"/>
        <item x="5"/>
        <item x="0"/>
        <item t="default"/>
      </items>
    </pivotField>
    <pivotField showAll="0">
      <items count="4">
        <item x="2"/>
        <item x="1"/>
        <item x="0"/>
        <item t="default"/>
      </items>
    </pivotField>
    <pivotField showAll="0">
      <items count="5">
        <item x="3"/>
        <item x="1"/>
        <item x="0"/>
        <item x="2"/>
        <item t="default"/>
      </items>
    </pivotField>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2:L9"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7">
        <item x="1"/>
        <item x="4"/>
        <item x="3"/>
        <item x="2"/>
        <item x="5"/>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5">
        <item x="3"/>
        <item x="1"/>
        <item x="0"/>
        <item x="2"/>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7">
    <i>
      <x/>
    </i>
    <i>
      <x v="4"/>
    </i>
    <i>
      <x v="1"/>
    </i>
    <i>
      <x v="2"/>
    </i>
    <i>
      <x v="3"/>
    </i>
    <i>
      <x v="5"/>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9"/>
    <pivotTable tabId="3" name="PivotTable5"/>
    <pivotTable tabId="3" name="PivotTable6"/>
    <pivotTable tabId="3" name="PivotTable7"/>
    <pivotTable tabId="3" name="PivotTable8"/>
  </pivotTables>
  <data>
    <tabular pivotCacheId="1">
      <items count="6">
        <i x="1" s="1"/>
        <i x="4" s="1"/>
        <i x="3" s="1"/>
        <i x="2"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9"/>
    <pivotTable tabId="3" name="PivotTable5"/>
    <pivotTable tabId="3" name="PivotTable6"/>
    <pivotTable tabId="3" name="PivotTable7"/>
    <pivotTable tabId="3" name="PivotTable8"/>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9"/>
    <pivotTable tabId="3" name="PivotTable5"/>
    <pivotTable tabId="3" name="PivotTable6"/>
    <pivotTable tabId="3" name="PivotTable7"/>
    <pivotTable tabId="3" name="PivotTable8"/>
  </pivotTables>
  <data>
    <tabular pivotCacheId="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34950"/>
  <slicer name="Category" cache="Slicer_Category" caption="Category" rowHeight="234950"/>
  <slicer name="Region" cache="Slicer_Region" caption="Region" rowHeight="234950"/>
</slicers>
</file>

<file path=xl/tables/table1.xml><?xml version="1.0" encoding="utf-8"?>
<table xmlns="http://schemas.openxmlformats.org/spreadsheetml/2006/main" id="2" name="Table2" displayName="Table2" ref="A1:H201" totalsRowShown="0">
  <autoFilter ref="A1:H201"/>
  <sortState ref="A2:H201">
    <sortCondition ref="B1"/>
  </sortState>
  <tableColumns count="8">
    <tableColumn id="1" name="Order_ID"/>
    <tableColumn id="2" name="Order_Date" dataDxfId="1"/>
    <tableColumn id="3" name="Product"/>
    <tableColumn id="4" name="Category"/>
    <tableColumn id="5" name="Region"/>
    <tableColumn id="6" name="Quantity"/>
    <tableColumn id="7" name="Unit_Price"/>
    <tableColumn id="8" name="Sales"/>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3:B7" totalsRowShown="0">
  <autoFilter ref="A3:B7"/>
  <tableColumns count="2">
    <tableColumn id="1" name="check "/>
    <tableColumn id="2" name="Result"/>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1:B15" totalsRowShown="0">
  <autoFilter ref="A11:B15"/>
  <tableColumns count="2">
    <tableColumn id="1" name="Metric"/>
    <tableColumn id="2" name="Value" dataDxfId="0">
      <calculatedColumnFormula>SUM(Table2[Sales])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1.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1"/>
  <sheetViews>
    <sheetView workbookViewId="0">
      <selection activeCell="B1" sqref="B1"/>
    </sheetView>
  </sheetViews>
  <sheetFormatPr defaultRowHeight="14.4" x14ac:dyDescent="0.3"/>
  <cols>
    <col min="1" max="1" width="10.44140625" customWidth="1"/>
    <col min="2" max="2" width="16.44140625" customWidth="1"/>
    <col min="3" max="3" width="9.5546875" customWidth="1"/>
    <col min="4" max="4" width="17" customWidth="1"/>
    <col min="6" max="6" width="10.21875" customWidth="1"/>
    <col min="7" max="7" width="11.5546875" customWidth="1"/>
    <col min="11" max="11" width="13.77734375" customWidth="1"/>
    <col min="12" max="12" width="12.5546875" bestFit="1" customWidth="1"/>
    <col min="14" max="14" width="13.21875" customWidth="1"/>
    <col min="15" max="15" width="12.5546875" customWidth="1"/>
    <col min="16" max="16" width="12.5546875" bestFit="1" customWidth="1"/>
  </cols>
  <sheetData>
    <row r="1" spans="1:16" x14ac:dyDescent="0.3">
      <c r="A1" t="s">
        <v>0</v>
      </c>
      <c r="B1" t="s">
        <v>1</v>
      </c>
      <c r="C1" t="s">
        <v>2</v>
      </c>
      <c r="D1" t="s">
        <v>3</v>
      </c>
      <c r="E1" t="s">
        <v>4</v>
      </c>
      <c r="F1" t="s">
        <v>5</v>
      </c>
      <c r="G1" t="s">
        <v>6</v>
      </c>
      <c r="H1" t="s">
        <v>7</v>
      </c>
    </row>
    <row r="2" spans="1:16" x14ac:dyDescent="0.3">
      <c r="A2">
        <v>179</v>
      </c>
      <c r="B2" s="1">
        <v>45659</v>
      </c>
      <c r="C2" t="s">
        <v>14</v>
      </c>
      <c r="D2" t="s">
        <v>12</v>
      </c>
      <c r="E2" t="s">
        <v>15</v>
      </c>
      <c r="F2">
        <v>2</v>
      </c>
      <c r="G2">
        <v>799</v>
      </c>
      <c r="H2">
        <v>1598</v>
      </c>
      <c r="K2" s="2" t="s">
        <v>21</v>
      </c>
      <c r="L2">
        <f>COUNT(A2:A201)</f>
        <v>200</v>
      </c>
      <c r="N2" s="3" t="s">
        <v>23</v>
      </c>
      <c r="O2" s="3" t="s">
        <v>23</v>
      </c>
      <c r="P2" s="3" t="s">
        <v>23</v>
      </c>
    </row>
    <row r="3" spans="1:16" x14ac:dyDescent="0.3">
      <c r="A3">
        <v>66</v>
      </c>
      <c r="B3" s="1">
        <v>45662</v>
      </c>
      <c r="C3" t="s">
        <v>20</v>
      </c>
      <c r="D3" t="s">
        <v>19</v>
      </c>
      <c r="E3" t="s">
        <v>15</v>
      </c>
      <c r="F3">
        <v>6</v>
      </c>
      <c r="G3">
        <v>499</v>
      </c>
      <c r="H3">
        <v>2994</v>
      </c>
      <c r="K3" s="2" t="s">
        <v>22</v>
      </c>
      <c r="L3">
        <f>SUM(H2:H201)</f>
        <v>2162494</v>
      </c>
      <c r="N3" s="4" t="s">
        <v>11</v>
      </c>
      <c r="O3" s="4" t="s">
        <v>19</v>
      </c>
      <c r="P3" s="4" t="s">
        <v>17</v>
      </c>
    </row>
    <row r="4" spans="1:16" x14ac:dyDescent="0.3">
      <c r="A4">
        <v>157</v>
      </c>
      <c r="B4" s="1">
        <v>45666</v>
      </c>
      <c r="C4" t="s">
        <v>8</v>
      </c>
      <c r="D4" t="s">
        <v>9</v>
      </c>
      <c r="E4" t="s">
        <v>13</v>
      </c>
      <c r="F4">
        <v>8</v>
      </c>
      <c r="G4">
        <v>1499</v>
      </c>
      <c r="H4">
        <v>11992</v>
      </c>
      <c r="K4" s="2" t="s">
        <v>25</v>
      </c>
      <c r="L4">
        <v>6</v>
      </c>
      <c r="N4" s="4" t="s">
        <v>18</v>
      </c>
      <c r="O4" s="4" t="s">
        <v>12</v>
      </c>
      <c r="P4" s="4" t="s">
        <v>13</v>
      </c>
    </row>
    <row r="5" spans="1:16" x14ac:dyDescent="0.3">
      <c r="A5">
        <v>33</v>
      </c>
      <c r="B5" s="1">
        <v>45667</v>
      </c>
      <c r="C5" t="s">
        <v>14</v>
      </c>
      <c r="D5" t="s">
        <v>12</v>
      </c>
      <c r="E5" t="s">
        <v>13</v>
      </c>
      <c r="F5">
        <v>6</v>
      </c>
      <c r="G5">
        <v>1499</v>
      </c>
      <c r="H5">
        <v>8994</v>
      </c>
      <c r="K5" s="2" t="s">
        <v>26</v>
      </c>
      <c r="L5">
        <v>3</v>
      </c>
      <c r="N5" s="4" t="s">
        <v>16</v>
      </c>
      <c r="O5" s="4" t="s">
        <v>9</v>
      </c>
      <c r="P5" s="4" t="s">
        <v>10</v>
      </c>
    </row>
    <row r="6" spans="1:16" x14ac:dyDescent="0.3">
      <c r="A6">
        <v>41</v>
      </c>
      <c r="B6" s="1">
        <v>45668</v>
      </c>
      <c r="C6" t="s">
        <v>11</v>
      </c>
      <c r="D6" t="s">
        <v>12</v>
      </c>
      <c r="E6" t="s">
        <v>10</v>
      </c>
      <c r="F6">
        <v>2</v>
      </c>
      <c r="G6">
        <v>999</v>
      </c>
      <c r="H6">
        <v>1998</v>
      </c>
      <c r="K6" s="2" t="s">
        <v>27</v>
      </c>
      <c r="L6">
        <v>4</v>
      </c>
      <c r="N6" s="4" t="s">
        <v>14</v>
      </c>
      <c r="O6" s="4" t="s">
        <v>24</v>
      </c>
      <c r="P6" s="4" t="s">
        <v>15</v>
      </c>
    </row>
    <row r="7" spans="1:16" x14ac:dyDescent="0.3">
      <c r="A7">
        <v>90</v>
      </c>
      <c r="B7" s="1">
        <v>45672</v>
      </c>
      <c r="C7" t="s">
        <v>8</v>
      </c>
      <c r="D7" t="s">
        <v>9</v>
      </c>
      <c r="E7" t="s">
        <v>13</v>
      </c>
      <c r="F7">
        <v>9</v>
      </c>
      <c r="G7">
        <v>999</v>
      </c>
      <c r="H7">
        <v>8991</v>
      </c>
      <c r="N7" s="4" t="s">
        <v>20</v>
      </c>
      <c r="P7" s="4" t="s">
        <v>24</v>
      </c>
    </row>
    <row r="8" spans="1:16" x14ac:dyDescent="0.3">
      <c r="A8">
        <v>3</v>
      </c>
      <c r="B8" s="1">
        <v>45673</v>
      </c>
      <c r="C8" t="s">
        <v>14</v>
      </c>
      <c r="D8" t="s">
        <v>12</v>
      </c>
      <c r="E8" t="s">
        <v>13</v>
      </c>
      <c r="F8">
        <v>7</v>
      </c>
      <c r="G8">
        <v>499</v>
      </c>
      <c r="H8">
        <v>3493</v>
      </c>
      <c r="N8" s="4" t="s">
        <v>8</v>
      </c>
    </row>
    <row r="9" spans="1:16" x14ac:dyDescent="0.3">
      <c r="A9">
        <v>135</v>
      </c>
      <c r="B9" s="1">
        <v>45678</v>
      </c>
      <c r="C9" t="s">
        <v>8</v>
      </c>
      <c r="D9" t="s">
        <v>9</v>
      </c>
      <c r="E9" t="s">
        <v>13</v>
      </c>
      <c r="F9">
        <v>2</v>
      </c>
      <c r="G9">
        <v>4999</v>
      </c>
      <c r="H9">
        <v>9998</v>
      </c>
      <c r="N9" s="4" t="s">
        <v>24</v>
      </c>
    </row>
    <row r="10" spans="1:16" x14ac:dyDescent="0.3">
      <c r="A10">
        <v>188</v>
      </c>
      <c r="B10" s="1">
        <v>45678</v>
      </c>
      <c r="C10" t="s">
        <v>20</v>
      </c>
      <c r="D10" t="s">
        <v>19</v>
      </c>
      <c r="E10" t="s">
        <v>15</v>
      </c>
      <c r="F10">
        <v>2</v>
      </c>
      <c r="G10">
        <v>2499</v>
      </c>
      <c r="H10">
        <v>4998</v>
      </c>
    </row>
    <row r="11" spans="1:16" x14ac:dyDescent="0.3">
      <c r="A11">
        <v>191</v>
      </c>
      <c r="B11" s="1">
        <v>45678</v>
      </c>
      <c r="C11" t="s">
        <v>8</v>
      </c>
      <c r="D11" t="s">
        <v>9</v>
      </c>
      <c r="E11" t="s">
        <v>10</v>
      </c>
      <c r="F11">
        <v>5</v>
      </c>
      <c r="G11">
        <v>2499</v>
      </c>
      <c r="H11">
        <v>12495</v>
      </c>
    </row>
    <row r="12" spans="1:16" x14ac:dyDescent="0.3">
      <c r="A12">
        <v>94</v>
      </c>
      <c r="B12" s="1">
        <v>45680</v>
      </c>
      <c r="C12" t="s">
        <v>14</v>
      </c>
      <c r="D12" t="s">
        <v>12</v>
      </c>
      <c r="E12" t="s">
        <v>15</v>
      </c>
      <c r="F12">
        <v>4</v>
      </c>
      <c r="G12">
        <v>999</v>
      </c>
      <c r="H12">
        <v>3996</v>
      </c>
    </row>
    <row r="13" spans="1:16" x14ac:dyDescent="0.3">
      <c r="A13">
        <v>107</v>
      </c>
      <c r="B13" s="1">
        <v>45681</v>
      </c>
      <c r="C13" t="s">
        <v>11</v>
      </c>
      <c r="D13" t="s">
        <v>12</v>
      </c>
      <c r="E13" t="s">
        <v>10</v>
      </c>
      <c r="F13">
        <v>3</v>
      </c>
      <c r="G13">
        <v>499</v>
      </c>
      <c r="H13">
        <v>1497</v>
      </c>
    </row>
    <row r="14" spans="1:16" x14ac:dyDescent="0.3">
      <c r="A14">
        <v>59</v>
      </c>
      <c r="B14" s="1">
        <v>45683</v>
      </c>
      <c r="C14" t="s">
        <v>8</v>
      </c>
      <c r="D14" t="s">
        <v>9</v>
      </c>
      <c r="E14" t="s">
        <v>15</v>
      </c>
      <c r="F14">
        <v>6</v>
      </c>
      <c r="G14">
        <v>499</v>
      </c>
      <c r="H14">
        <v>2994</v>
      </c>
    </row>
    <row r="15" spans="1:16" x14ac:dyDescent="0.3">
      <c r="A15">
        <v>170</v>
      </c>
      <c r="B15" s="1">
        <v>45684</v>
      </c>
      <c r="C15" t="s">
        <v>20</v>
      </c>
      <c r="D15" t="s">
        <v>19</v>
      </c>
      <c r="E15" t="s">
        <v>17</v>
      </c>
      <c r="F15">
        <v>6</v>
      </c>
      <c r="G15">
        <v>799</v>
      </c>
      <c r="H15">
        <v>4794</v>
      </c>
    </row>
    <row r="16" spans="1:16" x14ac:dyDescent="0.3">
      <c r="A16">
        <v>34</v>
      </c>
      <c r="B16" s="1">
        <v>45687</v>
      </c>
      <c r="C16" t="s">
        <v>18</v>
      </c>
      <c r="D16" t="s">
        <v>19</v>
      </c>
      <c r="E16" t="s">
        <v>10</v>
      </c>
      <c r="F16">
        <v>5</v>
      </c>
      <c r="G16">
        <v>799</v>
      </c>
      <c r="H16">
        <v>3995</v>
      </c>
    </row>
    <row r="17" spans="1:8" x14ac:dyDescent="0.3">
      <c r="A17">
        <v>58</v>
      </c>
      <c r="B17" s="1">
        <v>45687</v>
      </c>
      <c r="C17" t="s">
        <v>11</v>
      </c>
      <c r="D17" t="s">
        <v>12</v>
      </c>
      <c r="E17" t="s">
        <v>13</v>
      </c>
      <c r="F17">
        <v>5</v>
      </c>
      <c r="G17">
        <v>799</v>
      </c>
      <c r="H17">
        <v>3995</v>
      </c>
    </row>
    <row r="18" spans="1:8" x14ac:dyDescent="0.3">
      <c r="A18">
        <v>60</v>
      </c>
      <c r="B18" s="1">
        <v>45687</v>
      </c>
      <c r="C18" t="s">
        <v>14</v>
      </c>
      <c r="D18" t="s">
        <v>12</v>
      </c>
      <c r="E18" t="s">
        <v>13</v>
      </c>
      <c r="F18">
        <v>9</v>
      </c>
      <c r="G18">
        <v>799</v>
      </c>
      <c r="H18">
        <v>7191</v>
      </c>
    </row>
    <row r="19" spans="1:8" x14ac:dyDescent="0.3">
      <c r="A19">
        <v>184</v>
      </c>
      <c r="B19" s="1">
        <v>45688</v>
      </c>
      <c r="C19" t="s">
        <v>18</v>
      </c>
      <c r="D19" t="s">
        <v>19</v>
      </c>
      <c r="E19" t="s">
        <v>10</v>
      </c>
      <c r="F19">
        <v>3</v>
      </c>
      <c r="G19">
        <v>499</v>
      </c>
      <c r="H19">
        <v>1497</v>
      </c>
    </row>
    <row r="20" spans="1:8" x14ac:dyDescent="0.3">
      <c r="A20">
        <v>26</v>
      </c>
      <c r="B20" s="1">
        <v>45690</v>
      </c>
      <c r="C20" t="s">
        <v>8</v>
      </c>
      <c r="D20" t="s">
        <v>9</v>
      </c>
      <c r="E20" t="s">
        <v>15</v>
      </c>
      <c r="F20">
        <v>7</v>
      </c>
      <c r="G20">
        <v>2499</v>
      </c>
      <c r="H20">
        <v>17493</v>
      </c>
    </row>
    <row r="21" spans="1:8" x14ac:dyDescent="0.3">
      <c r="A21">
        <v>61</v>
      </c>
      <c r="B21" s="1">
        <v>45692</v>
      </c>
      <c r="C21" t="s">
        <v>11</v>
      </c>
      <c r="D21" t="s">
        <v>12</v>
      </c>
      <c r="E21" t="s">
        <v>10</v>
      </c>
      <c r="F21">
        <v>2</v>
      </c>
      <c r="G21">
        <v>2499</v>
      </c>
      <c r="H21">
        <v>4998</v>
      </c>
    </row>
    <row r="22" spans="1:8" x14ac:dyDescent="0.3">
      <c r="A22">
        <v>12</v>
      </c>
      <c r="B22" s="1">
        <v>45693</v>
      </c>
      <c r="C22" t="s">
        <v>14</v>
      </c>
      <c r="D22" t="s">
        <v>12</v>
      </c>
      <c r="E22" t="s">
        <v>13</v>
      </c>
      <c r="F22">
        <v>4</v>
      </c>
      <c r="G22">
        <v>4999</v>
      </c>
      <c r="H22">
        <v>19996</v>
      </c>
    </row>
    <row r="23" spans="1:8" x14ac:dyDescent="0.3">
      <c r="A23">
        <v>42</v>
      </c>
      <c r="B23" s="1">
        <v>45694</v>
      </c>
      <c r="C23" t="s">
        <v>14</v>
      </c>
      <c r="D23" t="s">
        <v>12</v>
      </c>
      <c r="E23" t="s">
        <v>13</v>
      </c>
      <c r="F23">
        <v>4</v>
      </c>
      <c r="G23">
        <v>499</v>
      </c>
      <c r="H23">
        <v>1996</v>
      </c>
    </row>
    <row r="24" spans="1:8" x14ac:dyDescent="0.3">
      <c r="A24">
        <v>67</v>
      </c>
      <c r="B24" s="1">
        <v>45695</v>
      </c>
      <c r="C24" t="s">
        <v>14</v>
      </c>
      <c r="D24" t="s">
        <v>12</v>
      </c>
      <c r="E24" t="s">
        <v>10</v>
      </c>
      <c r="F24">
        <v>10</v>
      </c>
      <c r="G24">
        <v>499</v>
      </c>
      <c r="H24">
        <v>4990</v>
      </c>
    </row>
    <row r="25" spans="1:8" x14ac:dyDescent="0.3">
      <c r="A25">
        <v>78</v>
      </c>
      <c r="B25" s="1">
        <v>45696</v>
      </c>
      <c r="C25" t="s">
        <v>14</v>
      </c>
      <c r="D25" t="s">
        <v>12</v>
      </c>
      <c r="E25" t="s">
        <v>10</v>
      </c>
      <c r="F25">
        <v>1</v>
      </c>
      <c r="G25">
        <v>499</v>
      </c>
      <c r="H25">
        <v>499</v>
      </c>
    </row>
    <row r="26" spans="1:8" x14ac:dyDescent="0.3">
      <c r="A26">
        <v>13</v>
      </c>
      <c r="B26" s="1">
        <v>45698</v>
      </c>
      <c r="C26" t="s">
        <v>8</v>
      </c>
      <c r="D26" t="s">
        <v>9</v>
      </c>
      <c r="E26" t="s">
        <v>10</v>
      </c>
      <c r="F26">
        <v>4</v>
      </c>
      <c r="G26">
        <v>999</v>
      </c>
      <c r="H26">
        <v>3996</v>
      </c>
    </row>
    <row r="27" spans="1:8" x14ac:dyDescent="0.3">
      <c r="A27">
        <v>197</v>
      </c>
      <c r="B27" s="1">
        <v>45703</v>
      </c>
      <c r="C27" t="s">
        <v>14</v>
      </c>
      <c r="D27" t="s">
        <v>12</v>
      </c>
      <c r="E27" t="s">
        <v>17</v>
      </c>
      <c r="F27">
        <v>1</v>
      </c>
      <c r="G27">
        <v>1499</v>
      </c>
      <c r="H27">
        <v>1499</v>
      </c>
    </row>
    <row r="28" spans="1:8" x14ac:dyDescent="0.3">
      <c r="A28">
        <v>8</v>
      </c>
      <c r="B28" s="1">
        <v>45705</v>
      </c>
      <c r="C28" t="s">
        <v>11</v>
      </c>
      <c r="D28" t="s">
        <v>12</v>
      </c>
      <c r="E28" t="s">
        <v>15</v>
      </c>
      <c r="F28">
        <v>6</v>
      </c>
      <c r="G28">
        <v>499</v>
      </c>
      <c r="H28">
        <v>2994</v>
      </c>
    </row>
    <row r="29" spans="1:8" x14ac:dyDescent="0.3">
      <c r="A29">
        <v>53</v>
      </c>
      <c r="B29" s="1">
        <v>45705</v>
      </c>
      <c r="C29" t="s">
        <v>16</v>
      </c>
      <c r="D29" t="s">
        <v>12</v>
      </c>
      <c r="E29" t="s">
        <v>10</v>
      </c>
      <c r="F29">
        <v>9</v>
      </c>
      <c r="G29">
        <v>499</v>
      </c>
      <c r="H29">
        <v>4491</v>
      </c>
    </row>
    <row r="30" spans="1:8" x14ac:dyDescent="0.3">
      <c r="A30">
        <v>2</v>
      </c>
      <c r="B30" s="1">
        <v>45710</v>
      </c>
      <c r="C30" t="s">
        <v>11</v>
      </c>
      <c r="D30" t="s">
        <v>12</v>
      </c>
      <c r="E30" t="s">
        <v>13</v>
      </c>
      <c r="F30">
        <v>3</v>
      </c>
      <c r="G30">
        <v>4999</v>
      </c>
      <c r="H30">
        <v>14997</v>
      </c>
    </row>
    <row r="31" spans="1:8" x14ac:dyDescent="0.3">
      <c r="A31">
        <v>72</v>
      </c>
      <c r="B31" s="1">
        <v>45712</v>
      </c>
      <c r="C31" t="s">
        <v>11</v>
      </c>
      <c r="D31" t="s">
        <v>12</v>
      </c>
      <c r="E31" t="s">
        <v>10</v>
      </c>
      <c r="F31">
        <v>5</v>
      </c>
      <c r="G31">
        <v>499</v>
      </c>
      <c r="H31">
        <v>2495</v>
      </c>
    </row>
    <row r="32" spans="1:8" x14ac:dyDescent="0.3">
      <c r="A32">
        <v>146</v>
      </c>
      <c r="B32" s="1">
        <v>45712</v>
      </c>
      <c r="C32" t="s">
        <v>16</v>
      </c>
      <c r="D32" t="s">
        <v>12</v>
      </c>
      <c r="E32" t="s">
        <v>15</v>
      </c>
      <c r="F32">
        <v>7</v>
      </c>
      <c r="G32">
        <v>1499</v>
      </c>
      <c r="H32">
        <v>10493</v>
      </c>
    </row>
    <row r="33" spans="1:8" x14ac:dyDescent="0.3">
      <c r="A33">
        <v>28</v>
      </c>
      <c r="B33" s="1">
        <v>45716</v>
      </c>
      <c r="C33" t="s">
        <v>14</v>
      </c>
      <c r="D33" t="s">
        <v>12</v>
      </c>
      <c r="E33" t="s">
        <v>17</v>
      </c>
      <c r="F33">
        <v>1</v>
      </c>
      <c r="G33">
        <v>4999</v>
      </c>
      <c r="H33">
        <v>4999</v>
      </c>
    </row>
    <row r="34" spans="1:8" x14ac:dyDescent="0.3">
      <c r="A34">
        <v>93</v>
      </c>
      <c r="B34" s="1">
        <v>45717</v>
      </c>
      <c r="C34" t="s">
        <v>20</v>
      </c>
      <c r="D34" t="s">
        <v>19</v>
      </c>
      <c r="E34" t="s">
        <v>15</v>
      </c>
      <c r="F34">
        <v>10</v>
      </c>
      <c r="G34">
        <v>2499</v>
      </c>
      <c r="H34">
        <v>24990</v>
      </c>
    </row>
    <row r="35" spans="1:8" x14ac:dyDescent="0.3">
      <c r="A35">
        <v>40</v>
      </c>
      <c r="B35" s="1">
        <v>45719</v>
      </c>
      <c r="C35" t="s">
        <v>20</v>
      </c>
      <c r="D35" t="s">
        <v>19</v>
      </c>
      <c r="E35" t="s">
        <v>10</v>
      </c>
      <c r="F35">
        <v>9</v>
      </c>
      <c r="G35">
        <v>1499</v>
      </c>
      <c r="H35">
        <v>13491</v>
      </c>
    </row>
    <row r="36" spans="1:8" x14ac:dyDescent="0.3">
      <c r="A36">
        <v>162</v>
      </c>
      <c r="B36" s="1">
        <v>45719</v>
      </c>
      <c r="C36" t="s">
        <v>8</v>
      </c>
      <c r="D36" t="s">
        <v>9</v>
      </c>
      <c r="E36" t="s">
        <v>10</v>
      </c>
      <c r="F36">
        <v>4</v>
      </c>
      <c r="G36">
        <v>999</v>
      </c>
      <c r="H36">
        <v>3996</v>
      </c>
    </row>
    <row r="37" spans="1:8" x14ac:dyDescent="0.3">
      <c r="A37">
        <v>112</v>
      </c>
      <c r="B37" s="1">
        <v>45720</v>
      </c>
      <c r="C37" t="s">
        <v>16</v>
      </c>
      <c r="D37" t="s">
        <v>12</v>
      </c>
      <c r="E37" t="s">
        <v>15</v>
      </c>
      <c r="F37">
        <v>9</v>
      </c>
      <c r="G37">
        <v>799</v>
      </c>
      <c r="H37">
        <v>7191</v>
      </c>
    </row>
    <row r="38" spans="1:8" x14ac:dyDescent="0.3">
      <c r="A38">
        <v>10</v>
      </c>
      <c r="B38" s="1">
        <v>45721</v>
      </c>
      <c r="C38" t="s">
        <v>16</v>
      </c>
      <c r="D38" t="s">
        <v>12</v>
      </c>
      <c r="E38" t="s">
        <v>15</v>
      </c>
      <c r="F38">
        <v>8</v>
      </c>
      <c r="G38">
        <v>2499</v>
      </c>
      <c r="H38">
        <v>19992</v>
      </c>
    </row>
    <row r="39" spans="1:8" x14ac:dyDescent="0.3">
      <c r="A39">
        <v>97</v>
      </c>
      <c r="B39" s="1">
        <v>45721</v>
      </c>
      <c r="C39" t="s">
        <v>14</v>
      </c>
      <c r="D39" t="s">
        <v>12</v>
      </c>
      <c r="E39" t="s">
        <v>17</v>
      </c>
      <c r="F39">
        <v>6</v>
      </c>
      <c r="G39">
        <v>4999</v>
      </c>
      <c r="H39">
        <v>29994</v>
      </c>
    </row>
    <row r="40" spans="1:8" x14ac:dyDescent="0.3">
      <c r="A40">
        <v>99</v>
      </c>
      <c r="B40" s="1">
        <v>45723</v>
      </c>
      <c r="C40" t="s">
        <v>20</v>
      </c>
      <c r="D40" t="s">
        <v>19</v>
      </c>
      <c r="E40" t="s">
        <v>10</v>
      </c>
      <c r="F40">
        <v>5</v>
      </c>
      <c r="G40">
        <v>2499</v>
      </c>
      <c r="H40">
        <v>12495</v>
      </c>
    </row>
    <row r="41" spans="1:8" x14ac:dyDescent="0.3">
      <c r="A41">
        <v>128</v>
      </c>
      <c r="B41" s="1">
        <v>45723</v>
      </c>
      <c r="C41" t="s">
        <v>8</v>
      </c>
      <c r="D41" t="s">
        <v>9</v>
      </c>
      <c r="E41" t="s">
        <v>13</v>
      </c>
      <c r="F41">
        <v>3</v>
      </c>
      <c r="G41">
        <v>1499</v>
      </c>
      <c r="H41">
        <v>4497</v>
      </c>
    </row>
    <row r="42" spans="1:8" x14ac:dyDescent="0.3">
      <c r="A42">
        <v>76</v>
      </c>
      <c r="B42" s="1">
        <v>45724</v>
      </c>
      <c r="C42" t="s">
        <v>16</v>
      </c>
      <c r="D42" t="s">
        <v>12</v>
      </c>
      <c r="E42" t="s">
        <v>17</v>
      </c>
      <c r="F42">
        <v>1</v>
      </c>
      <c r="G42">
        <v>999</v>
      </c>
      <c r="H42">
        <v>999</v>
      </c>
    </row>
    <row r="43" spans="1:8" x14ac:dyDescent="0.3">
      <c r="A43">
        <v>119</v>
      </c>
      <c r="B43" s="1">
        <v>45728</v>
      </c>
      <c r="C43" t="s">
        <v>18</v>
      </c>
      <c r="D43" t="s">
        <v>19</v>
      </c>
      <c r="E43" t="s">
        <v>10</v>
      </c>
      <c r="F43">
        <v>9</v>
      </c>
      <c r="G43">
        <v>499</v>
      </c>
      <c r="H43">
        <v>4491</v>
      </c>
    </row>
    <row r="44" spans="1:8" x14ac:dyDescent="0.3">
      <c r="A44">
        <v>110</v>
      </c>
      <c r="B44" s="1">
        <v>45733</v>
      </c>
      <c r="C44" t="s">
        <v>20</v>
      </c>
      <c r="D44" t="s">
        <v>19</v>
      </c>
      <c r="E44" t="s">
        <v>13</v>
      </c>
      <c r="F44">
        <v>7</v>
      </c>
      <c r="G44">
        <v>799</v>
      </c>
      <c r="H44">
        <v>5593</v>
      </c>
    </row>
    <row r="45" spans="1:8" x14ac:dyDescent="0.3">
      <c r="A45">
        <v>25</v>
      </c>
      <c r="B45" s="1">
        <v>45736</v>
      </c>
      <c r="C45" t="s">
        <v>16</v>
      </c>
      <c r="D45" t="s">
        <v>12</v>
      </c>
      <c r="E45" t="s">
        <v>10</v>
      </c>
      <c r="F45">
        <v>1</v>
      </c>
      <c r="G45">
        <v>499</v>
      </c>
      <c r="H45">
        <v>499</v>
      </c>
    </row>
    <row r="46" spans="1:8" x14ac:dyDescent="0.3">
      <c r="A46">
        <v>120</v>
      </c>
      <c r="B46" s="1">
        <v>45736</v>
      </c>
      <c r="C46" t="s">
        <v>11</v>
      </c>
      <c r="D46" t="s">
        <v>12</v>
      </c>
      <c r="E46" t="s">
        <v>10</v>
      </c>
      <c r="F46">
        <v>7</v>
      </c>
      <c r="G46">
        <v>4999</v>
      </c>
      <c r="H46">
        <v>34993</v>
      </c>
    </row>
    <row r="47" spans="1:8" x14ac:dyDescent="0.3">
      <c r="A47">
        <v>147</v>
      </c>
      <c r="B47" s="1">
        <v>45736</v>
      </c>
      <c r="C47" t="s">
        <v>18</v>
      </c>
      <c r="D47" t="s">
        <v>19</v>
      </c>
      <c r="E47" t="s">
        <v>15</v>
      </c>
      <c r="F47">
        <v>8</v>
      </c>
      <c r="G47">
        <v>4999</v>
      </c>
      <c r="H47">
        <v>39992</v>
      </c>
    </row>
    <row r="48" spans="1:8" x14ac:dyDescent="0.3">
      <c r="A48">
        <v>69</v>
      </c>
      <c r="B48" s="1">
        <v>45738</v>
      </c>
      <c r="C48" t="s">
        <v>11</v>
      </c>
      <c r="D48" t="s">
        <v>12</v>
      </c>
      <c r="E48" t="s">
        <v>15</v>
      </c>
      <c r="F48">
        <v>6</v>
      </c>
      <c r="G48">
        <v>999</v>
      </c>
      <c r="H48">
        <v>5994</v>
      </c>
    </row>
    <row r="49" spans="1:8" x14ac:dyDescent="0.3">
      <c r="A49">
        <v>85</v>
      </c>
      <c r="B49" s="1">
        <v>45739</v>
      </c>
      <c r="C49" t="s">
        <v>8</v>
      </c>
      <c r="D49" t="s">
        <v>9</v>
      </c>
      <c r="E49" t="s">
        <v>13</v>
      </c>
      <c r="F49">
        <v>4</v>
      </c>
      <c r="G49">
        <v>999</v>
      </c>
      <c r="H49">
        <v>3996</v>
      </c>
    </row>
    <row r="50" spans="1:8" x14ac:dyDescent="0.3">
      <c r="A50">
        <v>83</v>
      </c>
      <c r="B50" s="1">
        <v>45741</v>
      </c>
      <c r="C50" t="s">
        <v>14</v>
      </c>
      <c r="D50" t="s">
        <v>12</v>
      </c>
      <c r="E50" t="s">
        <v>10</v>
      </c>
      <c r="F50">
        <v>3</v>
      </c>
      <c r="G50">
        <v>799</v>
      </c>
      <c r="H50">
        <v>2397</v>
      </c>
    </row>
    <row r="51" spans="1:8" x14ac:dyDescent="0.3">
      <c r="A51">
        <v>104</v>
      </c>
      <c r="B51" s="1">
        <v>45744</v>
      </c>
      <c r="C51" t="s">
        <v>14</v>
      </c>
      <c r="D51" t="s">
        <v>12</v>
      </c>
      <c r="E51" t="s">
        <v>13</v>
      </c>
      <c r="F51">
        <v>8</v>
      </c>
      <c r="G51">
        <v>4999</v>
      </c>
      <c r="H51">
        <v>39992</v>
      </c>
    </row>
    <row r="52" spans="1:8" x14ac:dyDescent="0.3">
      <c r="A52">
        <v>100</v>
      </c>
      <c r="B52" s="1">
        <v>45747</v>
      </c>
      <c r="C52" t="s">
        <v>20</v>
      </c>
      <c r="D52" t="s">
        <v>19</v>
      </c>
      <c r="E52" t="s">
        <v>17</v>
      </c>
      <c r="F52">
        <v>7</v>
      </c>
      <c r="G52">
        <v>4999</v>
      </c>
      <c r="H52">
        <v>34993</v>
      </c>
    </row>
    <row r="53" spans="1:8" x14ac:dyDescent="0.3">
      <c r="A53">
        <v>111</v>
      </c>
      <c r="B53" s="1">
        <v>45748</v>
      </c>
      <c r="C53" t="s">
        <v>16</v>
      </c>
      <c r="D53" t="s">
        <v>12</v>
      </c>
      <c r="E53" t="s">
        <v>15</v>
      </c>
      <c r="F53">
        <v>7</v>
      </c>
      <c r="G53">
        <v>799</v>
      </c>
      <c r="H53">
        <v>5593</v>
      </c>
    </row>
    <row r="54" spans="1:8" x14ac:dyDescent="0.3">
      <c r="A54">
        <v>46</v>
      </c>
      <c r="B54" s="1">
        <v>45755</v>
      </c>
      <c r="C54" t="s">
        <v>11</v>
      </c>
      <c r="D54" t="s">
        <v>12</v>
      </c>
      <c r="E54" t="s">
        <v>13</v>
      </c>
      <c r="F54">
        <v>8</v>
      </c>
      <c r="G54">
        <v>1499</v>
      </c>
      <c r="H54">
        <v>11992</v>
      </c>
    </row>
    <row r="55" spans="1:8" x14ac:dyDescent="0.3">
      <c r="A55">
        <v>15</v>
      </c>
      <c r="B55" s="1">
        <v>45765</v>
      </c>
      <c r="C55" t="s">
        <v>11</v>
      </c>
      <c r="D55" t="s">
        <v>12</v>
      </c>
      <c r="E55" t="s">
        <v>17</v>
      </c>
      <c r="F55">
        <v>6</v>
      </c>
      <c r="G55">
        <v>999</v>
      </c>
      <c r="H55">
        <v>5994</v>
      </c>
    </row>
    <row r="56" spans="1:8" x14ac:dyDescent="0.3">
      <c r="A56">
        <v>73</v>
      </c>
      <c r="B56" s="1">
        <v>45765</v>
      </c>
      <c r="C56" t="s">
        <v>18</v>
      </c>
      <c r="D56" t="s">
        <v>19</v>
      </c>
      <c r="E56" t="s">
        <v>17</v>
      </c>
      <c r="F56">
        <v>5</v>
      </c>
      <c r="G56">
        <v>2499</v>
      </c>
      <c r="H56">
        <v>12495</v>
      </c>
    </row>
    <row r="57" spans="1:8" x14ac:dyDescent="0.3">
      <c r="A57">
        <v>125</v>
      </c>
      <c r="B57" s="1">
        <v>45770</v>
      </c>
      <c r="C57" t="s">
        <v>14</v>
      </c>
      <c r="D57" t="s">
        <v>12</v>
      </c>
      <c r="E57" t="s">
        <v>15</v>
      </c>
      <c r="F57">
        <v>9</v>
      </c>
      <c r="G57">
        <v>2499</v>
      </c>
      <c r="H57">
        <v>22491</v>
      </c>
    </row>
    <row r="58" spans="1:8" x14ac:dyDescent="0.3">
      <c r="A58">
        <v>86</v>
      </c>
      <c r="B58" s="1">
        <v>45771</v>
      </c>
      <c r="C58" t="s">
        <v>20</v>
      </c>
      <c r="D58" t="s">
        <v>19</v>
      </c>
      <c r="E58" t="s">
        <v>10</v>
      </c>
      <c r="F58">
        <v>1</v>
      </c>
      <c r="G58">
        <v>1499</v>
      </c>
      <c r="H58">
        <v>1499</v>
      </c>
    </row>
    <row r="59" spans="1:8" x14ac:dyDescent="0.3">
      <c r="A59">
        <v>183</v>
      </c>
      <c r="B59" s="1">
        <v>45773</v>
      </c>
      <c r="C59" t="s">
        <v>20</v>
      </c>
      <c r="D59" t="s">
        <v>19</v>
      </c>
      <c r="E59" t="s">
        <v>10</v>
      </c>
      <c r="F59">
        <v>2</v>
      </c>
      <c r="G59">
        <v>2499</v>
      </c>
      <c r="H59">
        <v>4998</v>
      </c>
    </row>
    <row r="60" spans="1:8" x14ac:dyDescent="0.3">
      <c r="A60">
        <v>87</v>
      </c>
      <c r="B60" s="1">
        <v>45774</v>
      </c>
      <c r="C60" t="s">
        <v>20</v>
      </c>
      <c r="D60" t="s">
        <v>19</v>
      </c>
      <c r="E60" t="s">
        <v>10</v>
      </c>
      <c r="F60">
        <v>6</v>
      </c>
      <c r="G60">
        <v>999</v>
      </c>
      <c r="H60">
        <v>5994</v>
      </c>
    </row>
    <row r="61" spans="1:8" x14ac:dyDescent="0.3">
      <c r="A61">
        <v>165</v>
      </c>
      <c r="B61" s="1">
        <v>45774</v>
      </c>
      <c r="C61" t="s">
        <v>16</v>
      </c>
      <c r="D61" t="s">
        <v>12</v>
      </c>
      <c r="E61" t="s">
        <v>17</v>
      </c>
      <c r="F61">
        <v>4</v>
      </c>
      <c r="G61">
        <v>999</v>
      </c>
      <c r="H61">
        <v>3996</v>
      </c>
    </row>
    <row r="62" spans="1:8" x14ac:dyDescent="0.3">
      <c r="A62">
        <v>161</v>
      </c>
      <c r="B62" s="1">
        <v>45776</v>
      </c>
      <c r="C62" t="s">
        <v>18</v>
      </c>
      <c r="D62" t="s">
        <v>19</v>
      </c>
      <c r="E62" t="s">
        <v>13</v>
      </c>
      <c r="F62">
        <v>5</v>
      </c>
      <c r="G62">
        <v>999</v>
      </c>
      <c r="H62">
        <v>4995</v>
      </c>
    </row>
    <row r="63" spans="1:8" x14ac:dyDescent="0.3">
      <c r="A63">
        <v>178</v>
      </c>
      <c r="B63" s="1">
        <v>45780</v>
      </c>
      <c r="C63" t="s">
        <v>18</v>
      </c>
      <c r="D63" t="s">
        <v>19</v>
      </c>
      <c r="E63" t="s">
        <v>10</v>
      </c>
      <c r="F63">
        <v>2</v>
      </c>
      <c r="G63">
        <v>799</v>
      </c>
      <c r="H63">
        <v>1598</v>
      </c>
    </row>
    <row r="64" spans="1:8" x14ac:dyDescent="0.3">
      <c r="A64">
        <v>155</v>
      </c>
      <c r="B64" s="1">
        <v>45781</v>
      </c>
      <c r="C64" t="s">
        <v>14</v>
      </c>
      <c r="D64" t="s">
        <v>12</v>
      </c>
      <c r="E64" t="s">
        <v>15</v>
      </c>
      <c r="F64">
        <v>4</v>
      </c>
      <c r="G64">
        <v>499</v>
      </c>
      <c r="H64">
        <v>1996</v>
      </c>
    </row>
    <row r="65" spans="1:8" x14ac:dyDescent="0.3">
      <c r="A65">
        <v>22</v>
      </c>
      <c r="B65" s="1">
        <v>45784</v>
      </c>
      <c r="C65" t="s">
        <v>11</v>
      </c>
      <c r="D65" t="s">
        <v>12</v>
      </c>
      <c r="E65" t="s">
        <v>17</v>
      </c>
      <c r="F65">
        <v>5</v>
      </c>
      <c r="G65">
        <v>799</v>
      </c>
      <c r="H65">
        <v>3995</v>
      </c>
    </row>
    <row r="66" spans="1:8" x14ac:dyDescent="0.3">
      <c r="A66">
        <v>62</v>
      </c>
      <c r="B66" s="1">
        <v>45784</v>
      </c>
      <c r="C66" t="s">
        <v>20</v>
      </c>
      <c r="D66" t="s">
        <v>19</v>
      </c>
      <c r="E66" t="s">
        <v>13</v>
      </c>
      <c r="F66">
        <v>2</v>
      </c>
      <c r="G66">
        <v>2499</v>
      </c>
      <c r="H66">
        <v>4998</v>
      </c>
    </row>
    <row r="67" spans="1:8" x14ac:dyDescent="0.3">
      <c r="A67">
        <v>189</v>
      </c>
      <c r="B67" s="1">
        <v>45786</v>
      </c>
      <c r="C67" t="s">
        <v>8</v>
      </c>
      <c r="D67" t="s">
        <v>9</v>
      </c>
      <c r="E67" t="s">
        <v>13</v>
      </c>
      <c r="F67">
        <v>6</v>
      </c>
      <c r="G67">
        <v>2499</v>
      </c>
      <c r="H67">
        <v>14994</v>
      </c>
    </row>
    <row r="68" spans="1:8" x14ac:dyDescent="0.3">
      <c r="A68">
        <v>153</v>
      </c>
      <c r="B68" s="1">
        <v>45790</v>
      </c>
      <c r="C68" t="s">
        <v>20</v>
      </c>
      <c r="D68" t="s">
        <v>19</v>
      </c>
      <c r="E68" t="s">
        <v>17</v>
      </c>
      <c r="F68">
        <v>4</v>
      </c>
      <c r="G68">
        <v>999</v>
      </c>
      <c r="H68">
        <v>3996</v>
      </c>
    </row>
    <row r="69" spans="1:8" x14ac:dyDescent="0.3">
      <c r="A69">
        <v>30</v>
      </c>
      <c r="B69" s="1">
        <v>45792</v>
      </c>
      <c r="C69" t="s">
        <v>11</v>
      </c>
      <c r="D69" t="s">
        <v>12</v>
      </c>
      <c r="E69" t="s">
        <v>10</v>
      </c>
      <c r="F69">
        <v>8</v>
      </c>
      <c r="G69">
        <v>499</v>
      </c>
      <c r="H69">
        <v>3992</v>
      </c>
    </row>
    <row r="70" spans="1:8" x14ac:dyDescent="0.3">
      <c r="A70">
        <v>91</v>
      </c>
      <c r="B70" s="1">
        <v>45793</v>
      </c>
      <c r="C70" t="s">
        <v>18</v>
      </c>
      <c r="D70" t="s">
        <v>19</v>
      </c>
      <c r="E70" t="s">
        <v>13</v>
      </c>
      <c r="F70">
        <v>3</v>
      </c>
      <c r="G70">
        <v>2499</v>
      </c>
      <c r="H70">
        <v>7497</v>
      </c>
    </row>
    <row r="71" spans="1:8" x14ac:dyDescent="0.3">
      <c r="A71">
        <v>148</v>
      </c>
      <c r="B71" s="1">
        <v>45796</v>
      </c>
      <c r="C71" t="s">
        <v>11</v>
      </c>
      <c r="D71" t="s">
        <v>12</v>
      </c>
      <c r="E71" t="s">
        <v>15</v>
      </c>
      <c r="F71">
        <v>9</v>
      </c>
      <c r="G71">
        <v>4999</v>
      </c>
      <c r="H71">
        <v>44991</v>
      </c>
    </row>
    <row r="72" spans="1:8" x14ac:dyDescent="0.3">
      <c r="A72">
        <v>118</v>
      </c>
      <c r="B72" s="1">
        <v>45797</v>
      </c>
      <c r="C72" t="s">
        <v>8</v>
      </c>
      <c r="D72" t="s">
        <v>9</v>
      </c>
      <c r="E72" t="s">
        <v>17</v>
      </c>
      <c r="F72">
        <v>5</v>
      </c>
      <c r="G72">
        <v>799</v>
      </c>
      <c r="H72">
        <v>3995</v>
      </c>
    </row>
    <row r="73" spans="1:8" x14ac:dyDescent="0.3">
      <c r="A73">
        <v>1</v>
      </c>
      <c r="B73" s="1">
        <v>45798</v>
      </c>
      <c r="C73" t="s">
        <v>8</v>
      </c>
      <c r="D73" t="s">
        <v>9</v>
      </c>
      <c r="E73" t="s">
        <v>10</v>
      </c>
      <c r="F73">
        <v>2</v>
      </c>
      <c r="G73">
        <v>499</v>
      </c>
      <c r="H73">
        <v>998</v>
      </c>
    </row>
    <row r="74" spans="1:8" x14ac:dyDescent="0.3">
      <c r="A74">
        <v>116</v>
      </c>
      <c r="B74" s="1">
        <v>45799</v>
      </c>
      <c r="C74" t="s">
        <v>18</v>
      </c>
      <c r="D74" t="s">
        <v>19</v>
      </c>
      <c r="E74" t="s">
        <v>15</v>
      </c>
      <c r="F74">
        <v>4</v>
      </c>
      <c r="G74">
        <v>4999</v>
      </c>
      <c r="H74">
        <v>19996</v>
      </c>
    </row>
    <row r="75" spans="1:8" x14ac:dyDescent="0.3">
      <c r="A75">
        <v>154</v>
      </c>
      <c r="B75" s="1">
        <v>45799</v>
      </c>
      <c r="C75" t="s">
        <v>18</v>
      </c>
      <c r="D75" t="s">
        <v>19</v>
      </c>
      <c r="E75" t="s">
        <v>13</v>
      </c>
      <c r="F75">
        <v>10</v>
      </c>
      <c r="G75">
        <v>4999</v>
      </c>
      <c r="H75">
        <v>49990</v>
      </c>
    </row>
    <row r="76" spans="1:8" x14ac:dyDescent="0.3">
      <c r="A76">
        <v>6</v>
      </c>
      <c r="B76" s="1">
        <v>45800</v>
      </c>
      <c r="C76" t="s">
        <v>11</v>
      </c>
      <c r="D76" t="s">
        <v>12</v>
      </c>
      <c r="E76" t="s">
        <v>13</v>
      </c>
      <c r="F76">
        <v>8</v>
      </c>
      <c r="G76">
        <v>2499</v>
      </c>
      <c r="H76">
        <v>19992</v>
      </c>
    </row>
    <row r="77" spans="1:8" x14ac:dyDescent="0.3">
      <c r="A77">
        <v>7</v>
      </c>
      <c r="B77" s="1">
        <v>45800</v>
      </c>
      <c r="C77" t="s">
        <v>11</v>
      </c>
      <c r="D77" t="s">
        <v>12</v>
      </c>
      <c r="E77" t="s">
        <v>10</v>
      </c>
      <c r="F77">
        <v>7</v>
      </c>
      <c r="G77">
        <v>999</v>
      </c>
      <c r="H77">
        <v>6993</v>
      </c>
    </row>
    <row r="78" spans="1:8" x14ac:dyDescent="0.3">
      <c r="A78">
        <v>51</v>
      </c>
      <c r="B78" s="1">
        <v>45800</v>
      </c>
      <c r="C78" t="s">
        <v>11</v>
      </c>
      <c r="D78" t="s">
        <v>12</v>
      </c>
      <c r="E78" t="s">
        <v>15</v>
      </c>
      <c r="F78">
        <v>7</v>
      </c>
      <c r="G78">
        <v>799</v>
      </c>
      <c r="H78">
        <v>5593</v>
      </c>
    </row>
    <row r="79" spans="1:8" x14ac:dyDescent="0.3">
      <c r="A79">
        <v>150</v>
      </c>
      <c r="B79" s="1">
        <v>45800</v>
      </c>
      <c r="C79" t="s">
        <v>18</v>
      </c>
      <c r="D79" t="s">
        <v>19</v>
      </c>
      <c r="E79" t="s">
        <v>15</v>
      </c>
      <c r="F79">
        <v>4</v>
      </c>
      <c r="G79">
        <v>499</v>
      </c>
      <c r="H79">
        <v>1996</v>
      </c>
    </row>
    <row r="80" spans="1:8" x14ac:dyDescent="0.3">
      <c r="A80">
        <v>181</v>
      </c>
      <c r="B80" s="1">
        <v>45802</v>
      </c>
      <c r="C80" t="s">
        <v>11</v>
      </c>
      <c r="D80" t="s">
        <v>12</v>
      </c>
      <c r="E80" t="s">
        <v>15</v>
      </c>
      <c r="F80">
        <v>5</v>
      </c>
      <c r="G80">
        <v>4999</v>
      </c>
      <c r="H80">
        <v>24995</v>
      </c>
    </row>
    <row r="81" spans="1:8" x14ac:dyDescent="0.3">
      <c r="A81">
        <v>56</v>
      </c>
      <c r="B81" s="1">
        <v>45804</v>
      </c>
      <c r="C81" t="s">
        <v>20</v>
      </c>
      <c r="D81" t="s">
        <v>19</v>
      </c>
      <c r="E81" t="s">
        <v>15</v>
      </c>
      <c r="F81">
        <v>5</v>
      </c>
      <c r="G81">
        <v>1499</v>
      </c>
      <c r="H81">
        <v>7495</v>
      </c>
    </row>
    <row r="82" spans="1:8" x14ac:dyDescent="0.3">
      <c r="A82">
        <v>180</v>
      </c>
      <c r="B82" s="1">
        <v>45807</v>
      </c>
      <c r="C82" t="s">
        <v>20</v>
      </c>
      <c r="D82" t="s">
        <v>19</v>
      </c>
      <c r="E82" t="s">
        <v>13</v>
      </c>
      <c r="F82">
        <v>10</v>
      </c>
      <c r="G82">
        <v>1499</v>
      </c>
      <c r="H82">
        <v>14990</v>
      </c>
    </row>
    <row r="83" spans="1:8" x14ac:dyDescent="0.3">
      <c r="A83">
        <v>29</v>
      </c>
      <c r="B83" s="1">
        <v>45808</v>
      </c>
      <c r="C83" t="s">
        <v>8</v>
      </c>
      <c r="D83" t="s">
        <v>9</v>
      </c>
      <c r="E83" t="s">
        <v>15</v>
      </c>
      <c r="F83">
        <v>6</v>
      </c>
      <c r="G83">
        <v>499</v>
      </c>
      <c r="H83">
        <v>2994</v>
      </c>
    </row>
    <row r="84" spans="1:8" x14ac:dyDescent="0.3">
      <c r="A84">
        <v>31</v>
      </c>
      <c r="B84" s="1">
        <v>45810</v>
      </c>
      <c r="C84" t="s">
        <v>14</v>
      </c>
      <c r="D84" t="s">
        <v>12</v>
      </c>
      <c r="E84" t="s">
        <v>10</v>
      </c>
      <c r="F84">
        <v>2</v>
      </c>
      <c r="G84">
        <v>4999</v>
      </c>
      <c r="H84">
        <v>9998</v>
      </c>
    </row>
    <row r="85" spans="1:8" x14ac:dyDescent="0.3">
      <c r="A85">
        <v>101</v>
      </c>
      <c r="B85" s="1">
        <v>45813</v>
      </c>
      <c r="C85" t="s">
        <v>20</v>
      </c>
      <c r="D85" t="s">
        <v>19</v>
      </c>
      <c r="E85" t="s">
        <v>17</v>
      </c>
      <c r="F85">
        <v>9</v>
      </c>
      <c r="G85">
        <v>499</v>
      </c>
      <c r="H85">
        <v>4491</v>
      </c>
    </row>
    <row r="86" spans="1:8" x14ac:dyDescent="0.3">
      <c r="A86">
        <v>173</v>
      </c>
      <c r="B86" s="1">
        <v>45813</v>
      </c>
      <c r="C86" t="s">
        <v>11</v>
      </c>
      <c r="D86" t="s">
        <v>12</v>
      </c>
      <c r="E86" t="s">
        <v>13</v>
      </c>
      <c r="F86">
        <v>3</v>
      </c>
      <c r="G86">
        <v>2499</v>
      </c>
      <c r="H86">
        <v>7497</v>
      </c>
    </row>
    <row r="87" spans="1:8" x14ac:dyDescent="0.3">
      <c r="A87">
        <v>80</v>
      </c>
      <c r="B87" s="1">
        <v>45815</v>
      </c>
      <c r="C87" t="s">
        <v>20</v>
      </c>
      <c r="D87" t="s">
        <v>19</v>
      </c>
      <c r="E87" t="s">
        <v>17</v>
      </c>
      <c r="F87">
        <v>3</v>
      </c>
      <c r="G87">
        <v>499</v>
      </c>
      <c r="H87">
        <v>1497</v>
      </c>
    </row>
    <row r="88" spans="1:8" x14ac:dyDescent="0.3">
      <c r="A88">
        <v>106</v>
      </c>
      <c r="B88" s="1">
        <v>45816</v>
      </c>
      <c r="C88" t="s">
        <v>16</v>
      </c>
      <c r="D88" t="s">
        <v>12</v>
      </c>
      <c r="E88" t="s">
        <v>10</v>
      </c>
      <c r="F88">
        <v>4</v>
      </c>
      <c r="G88">
        <v>4999</v>
      </c>
      <c r="H88">
        <v>19996</v>
      </c>
    </row>
    <row r="89" spans="1:8" x14ac:dyDescent="0.3">
      <c r="A89">
        <v>64</v>
      </c>
      <c r="B89" s="1">
        <v>45818</v>
      </c>
      <c r="C89" t="s">
        <v>18</v>
      </c>
      <c r="D89" t="s">
        <v>19</v>
      </c>
      <c r="E89" t="s">
        <v>10</v>
      </c>
      <c r="F89">
        <v>4</v>
      </c>
      <c r="G89">
        <v>4999</v>
      </c>
      <c r="H89">
        <v>19996</v>
      </c>
    </row>
    <row r="90" spans="1:8" x14ac:dyDescent="0.3">
      <c r="A90">
        <v>19</v>
      </c>
      <c r="B90" s="1">
        <v>45819</v>
      </c>
      <c r="C90" t="s">
        <v>16</v>
      </c>
      <c r="D90" t="s">
        <v>12</v>
      </c>
      <c r="E90" t="s">
        <v>15</v>
      </c>
      <c r="F90">
        <v>4</v>
      </c>
      <c r="G90">
        <v>499</v>
      </c>
      <c r="H90">
        <v>1996</v>
      </c>
    </row>
    <row r="91" spans="1:8" x14ac:dyDescent="0.3">
      <c r="A91">
        <v>152</v>
      </c>
      <c r="B91" s="1">
        <v>45824</v>
      </c>
      <c r="C91" t="s">
        <v>18</v>
      </c>
      <c r="D91" t="s">
        <v>19</v>
      </c>
      <c r="E91" t="s">
        <v>10</v>
      </c>
      <c r="F91">
        <v>1</v>
      </c>
      <c r="G91">
        <v>1499</v>
      </c>
      <c r="H91">
        <v>1499</v>
      </c>
    </row>
    <row r="92" spans="1:8" x14ac:dyDescent="0.3">
      <c r="A92">
        <v>131</v>
      </c>
      <c r="B92" s="1">
        <v>45825</v>
      </c>
      <c r="C92" t="s">
        <v>16</v>
      </c>
      <c r="D92" t="s">
        <v>12</v>
      </c>
      <c r="E92" t="s">
        <v>10</v>
      </c>
      <c r="F92">
        <v>5</v>
      </c>
      <c r="G92">
        <v>1499</v>
      </c>
      <c r="H92">
        <v>7495</v>
      </c>
    </row>
    <row r="93" spans="1:8" x14ac:dyDescent="0.3">
      <c r="A93">
        <v>88</v>
      </c>
      <c r="B93" s="1">
        <v>45826</v>
      </c>
      <c r="C93" t="s">
        <v>16</v>
      </c>
      <c r="D93" t="s">
        <v>12</v>
      </c>
      <c r="E93" t="s">
        <v>17</v>
      </c>
      <c r="F93">
        <v>4</v>
      </c>
      <c r="G93">
        <v>1499</v>
      </c>
      <c r="H93">
        <v>5996</v>
      </c>
    </row>
    <row r="94" spans="1:8" x14ac:dyDescent="0.3">
      <c r="A94">
        <v>195</v>
      </c>
      <c r="B94" s="1">
        <v>45826</v>
      </c>
      <c r="C94" t="s">
        <v>18</v>
      </c>
      <c r="D94" t="s">
        <v>19</v>
      </c>
      <c r="E94" t="s">
        <v>15</v>
      </c>
      <c r="F94">
        <v>2</v>
      </c>
      <c r="G94">
        <v>799</v>
      </c>
      <c r="H94">
        <v>1598</v>
      </c>
    </row>
    <row r="95" spans="1:8" x14ac:dyDescent="0.3">
      <c r="A95">
        <v>43</v>
      </c>
      <c r="B95" s="1">
        <v>45827</v>
      </c>
      <c r="C95" t="s">
        <v>11</v>
      </c>
      <c r="D95" t="s">
        <v>12</v>
      </c>
      <c r="E95" t="s">
        <v>13</v>
      </c>
      <c r="F95">
        <v>2</v>
      </c>
      <c r="G95">
        <v>499</v>
      </c>
      <c r="H95">
        <v>998</v>
      </c>
    </row>
    <row r="96" spans="1:8" x14ac:dyDescent="0.3">
      <c r="A96">
        <v>121</v>
      </c>
      <c r="B96" s="1">
        <v>45827</v>
      </c>
      <c r="C96" t="s">
        <v>16</v>
      </c>
      <c r="D96" t="s">
        <v>12</v>
      </c>
      <c r="E96" t="s">
        <v>15</v>
      </c>
      <c r="F96">
        <v>7</v>
      </c>
      <c r="G96">
        <v>1499</v>
      </c>
      <c r="H96">
        <v>10493</v>
      </c>
    </row>
    <row r="97" spans="1:8" x14ac:dyDescent="0.3">
      <c r="A97">
        <v>84</v>
      </c>
      <c r="B97" s="1">
        <v>45828</v>
      </c>
      <c r="C97" t="s">
        <v>20</v>
      </c>
      <c r="D97" t="s">
        <v>19</v>
      </c>
      <c r="E97" t="s">
        <v>15</v>
      </c>
      <c r="F97">
        <v>1</v>
      </c>
      <c r="G97">
        <v>799</v>
      </c>
      <c r="H97">
        <v>799</v>
      </c>
    </row>
    <row r="98" spans="1:8" x14ac:dyDescent="0.3">
      <c r="A98">
        <v>49</v>
      </c>
      <c r="B98" s="1">
        <v>45831</v>
      </c>
      <c r="C98" t="s">
        <v>16</v>
      </c>
      <c r="D98" t="s">
        <v>12</v>
      </c>
      <c r="E98" t="s">
        <v>13</v>
      </c>
      <c r="F98">
        <v>7</v>
      </c>
      <c r="G98">
        <v>4999</v>
      </c>
      <c r="H98">
        <v>34993</v>
      </c>
    </row>
    <row r="99" spans="1:8" x14ac:dyDescent="0.3">
      <c r="A99">
        <v>92</v>
      </c>
      <c r="B99" s="1">
        <v>45834</v>
      </c>
      <c r="C99" t="s">
        <v>16</v>
      </c>
      <c r="D99" t="s">
        <v>12</v>
      </c>
      <c r="E99" t="s">
        <v>17</v>
      </c>
      <c r="F99">
        <v>10</v>
      </c>
      <c r="G99">
        <v>1499</v>
      </c>
      <c r="H99">
        <v>14990</v>
      </c>
    </row>
    <row r="100" spans="1:8" x14ac:dyDescent="0.3">
      <c r="A100">
        <v>68</v>
      </c>
      <c r="B100" s="1">
        <v>45836</v>
      </c>
      <c r="C100" t="s">
        <v>14</v>
      </c>
      <c r="D100" t="s">
        <v>12</v>
      </c>
      <c r="E100" t="s">
        <v>13</v>
      </c>
      <c r="F100">
        <v>5</v>
      </c>
      <c r="G100">
        <v>799</v>
      </c>
      <c r="H100">
        <v>3995</v>
      </c>
    </row>
    <row r="101" spans="1:8" x14ac:dyDescent="0.3">
      <c r="A101">
        <v>134</v>
      </c>
      <c r="B101" s="1">
        <v>45837</v>
      </c>
      <c r="C101" t="s">
        <v>8</v>
      </c>
      <c r="D101" t="s">
        <v>9</v>
      </c>
      <c r="E101" t="s">
        <v>10</v>
      </c>
      <c r="F101">
        <v>9</v>
      </c>
      <c r="G101">
        <v>499</v>
      </c>
      <c r="H101">
        <v>4491</v>
      </c>
    </row>
    <row r="102" spans="1:8" x14ac:dyDescent="0.3">
      <c r="A102">
        <v>160</v>
      </c>
      <c r="B102" s="1">
        <v>45838</v>
      </c>
      <c r="C102" t="s">
        <v>20</v>
      </c>
      <c r="D102" t="s">
        <v>19</v>
      </c>
      <c r="E102" t="s">
        <v>15</v>
      </c>
      <c r="F102">
        <v>9</v>
      </c>
      <c r="G102">
        <v>999</v>
      </c>
      <c r="H102">
        <v>8991</v>
      </c>
    </row>
    <row r="103" spans="1:8" x14ac:dyDescent="0.3">
      <c r="A103">
        <v>141</v>
      </c>
      <c r="B103" s="1">
        <v>45850</v>
      </c>
      <c r="C103" t="s">
        <v>18</v>
      </c>
      <c r="D103" t="s">
        <v>19</v>
      </c>
      <c r="E103" t="s">
        <v>15</v>
      </c>
      <c r="F103">
        <v>10</v>
      </c>
      <c r="G103">
        <v>4999</v>
      </c>
      <c r="H103">
        <v>49990</v>
      </c>
    </row>
    <row r="104" spans="1:8" x14ac:dyDescent="0.3">
      <c r="A104">
        <v>55</v>
      </c>
      <c r="B104" s="1">
        <v>45852</v>
      </c>
      <c r="C104" t="s">
        <v>20</v>
      </c>
      <c r="D104" t="s">
        <v>19</v>
      </c>
      <c r="E104" t="s">
        <v>13</v>
      </c>
      <c r="F104">
        <v>1</v>
      </c>
      <c r="G104">
        <v>799</v>
      </c>
      <c r="H104">
        <v>799</v>
      </c>
    </row>
    <row r="105" spans="1:8" x14ac:dyDescent="0.3">
      <c r="A105">
        <v>123</v>
      </c>
      <c r="B105" s="1">
        <v>45852</v>
      </c>
      <c r="C105" t="s">
        <v>14</v>
      </c>
      <c r="D105" t="s">
        <v>12</v>
      </c>
      <c r="E105" t="s">
        <v>15</v>
      </c>
      <c r="F105">
        <v>1</v>
      </c>
      <c r="G105">
        <v>2499</v>
      </c>
      <c r="H105">
        <v>2499</v>
      </c>
    </row>
    <row r="106" spans="1:8" x14ac:dyDescent="0.3">
      <c r="A106">
        <v>132</v>
      </c>
      <c r="B106" s="1">
        <v>45852</v>
      </c>
      <c r="C106" t="s">
        <v>20</v>
      </c>
      <c r="D106" t="s">
        <v>19</v>
      </c>
      <c r="E106" t="s">
        <v>17</v>
      </c>
      <c r="F106">
        <v>6</v>
      </c>
      <c r="G106">
        <v>999</v>
      </c>
      <c r="H106">
        <v>5994</v>
      </c>
    </row>
    <row r="107" spans="1:8" x14ac:dyDescent="0.3">
      <c r="A107">
        <v>124</v>
      </c>
      <c r="B107" s="1">
        <v>45857</v>
      </c>
      <c r="C107" t="s">
        <v>16</v>
      </c>
      <c r="D107" t="s">
        <v>12</v>
      </c>
      <c r="E107" t="s">
        <v>15</v>
      </c>
      <c r="F107">
        <v>6</v>
      </c>
      <c r="G107">
        <v>999</v>
      </c>
      <c r="H107">
        <v>5994</v>
      </c>
    </row>
    <row r="108" spans="1:8" x14ac:dyDescent="0.3">
      <c r="A108">
        <v>171</v>
      </c>
      <c r="B108" s="1">
        <v>45863</v>
      </c>
      <c r="C108" t="s">
        <v>20</v>
      </c>
      <c r="D108" t="s">
        <v>19</v>
      </c>
      <c r="E108" t="s">
        <v>15</v>
      </c>
      <c r="F108">
        <v>2</v>
      </c>
      <c r="G108">
        <v>499</v>
      </c>
      <c r="H108">
        <v>998</v>
      </c>
    </row>
    <row r="109" spans="1:8" x14ac:dyDescent="0.3">
      <c r="A109">
        <v>198</v>
      </c>
      <c r="B109" s="1">
        <v>45864</v>
      </c>
      <c r="C109" t="s">
        <v>18</v>
      </c>
      <c r="D109" t="s">
        <v>19</v>
      </c>
      <c r="E109" t="s">
        <v>13</v>
      </c>
      <c r="F109">
        <v>6</v>
      </c>
      <c r="G109">
        <v>499</v>
      </c>
      <c r="H109">
        <v>2994</v>
      </c>
    </row>
    <row r="110" spans="1:8" x14ac:dyDescent="0.3">
      <c r="A110">
        <v>98</v>
      </c>
      <c r="B110" s="1">
        <v>45867</v>
      </c>
      <c r="C110" t="s">
        <v>14</v>
      </c>
      <c r="D110" t="s">
        <v>12</v>
      </c>
      <c r="E110" t="s">
        <v>17</v>
      </c>
      <c r="F110">
        <v>5</v>
      </c>
      <c r="G110">
        <v>4999</v>
      </c>
      <c r="H110">
        <v>24995</v>
      </c>
    </row>
    <row r="111" spans="1:8" x14ac:dyDescent="0.3">
      <c r="A111">
        <v>194</v>
      </c>
      <c r="B111" s="1">
        <v>45867</v>
      </c>
      <c r="C111" t="s">
        <v>16</v>
      </c>
      <c r="D111" t="s">
        <v>12</v>
      </c>
      <c r="E111" t="s">
        <v>17</v>
      </c>
      <c r="F111">
        <v>8</v>
      </c>
      <c r="G111">
        <v>999</v>
      </c>
      <c r="H111">
        <v>7992</v>
      </c>
    </row>
    <row r="112" spans="1:8" x14ac:dyDescent="0.3">
      <c r="A112">
        <v>199</v>
      </c>
      <c r="B112" s="1">
        <v>45869</v>
      </c>
      <c r="C112" t="s">
        <v>8</v>
      </c>
      <c r="D112" t="s">
        <v>9</v>
      </c>
      <c r="E112" t="s">
        <v>13</v>
      </c>
      <c r="F112">
        <v>9</v>
      </c>
      <c r="G112">
        <v>1499</v>
      </c>
      <c r="H112">
        <v>13491</v>
      </c>
    </row>
    <row r="113" spans="1:8" x14ac:dyDescent="0.3">
      <c r="A113">
        <v>174</v>
      </c>
      <c r="B113" s="1">
        <v>45871</v>
      </c>
      <c r="C113" t="s">
        <v>11</v>
      </c>
      <c r="D113" t="s">
        <v>12</v>
      </c>
      <c r="E113" t="s">
        <v>10</v>
      </c>
      <c r="F113">
        <v>2</v>
      </c>
      <c r="G113">
        <v>2499</v>
      </c>
      <c r="H113">
        <v>4998</v>
      </c>
    </row>
    <row r="114" spans="1:8" x14ac:dyDescent="0.3">
      <c r="A114">
        <v>122</v>
      </c>
      <c r="B114" s="1">
        <v>45873</v>
      </c>
      <c r="C114" t="s">
        <v>20</v>
      </c>
      <c r="D114" t="s">
        <v>19</v>
      </c>
      <c r="E114" t="s">
        <v>15</v>
      </c>
      <c r="F114">
        <v>1</v>
      </c>
      <c r="G114">
        <v>799</v>
      </c>
      <c r="H114">
        <v>799</v>
      </c>
    </row>
    <row r="115" spans="1:8" x14ac:dyDescent="0.3">
      <c r="A115">
        <v>47</v>
      </c>
      <c r="B115" s="1">
        <v>45874</v>
      </c>
      <c r="C115" t="s">
        <v>16</v>
      </c>
      <c r="D115" t="s">
        <v>12</v>
      </c>
      <c r="E115" t="s">
        <v>15</v>
      </c>
      <c r="F115">
        <v>7</v>
      </c>
      <c r="G115">
        <v>999</v>
      </c>
      <c r="H115">
        <v>6993</v>
      </c>
    </row>
    <row r="116" spans="1:8" x14ac:dyDescent="0.3">
      <c r="A116">
        <v>75</v>
      </c>
      <c r="B116" s="1">
        <v>45874</v>
      </c>
      <c r="C116" t="s">
        <v>16</v>
      </c>
      <c r="D116" t="s">
        <v>12</v>
      </c>
      <c r="E116" t="s">
        <v>17</v>
      </c>
      <c r="F116">
        <v>2</v>
      </c>
      <c r="G116">
        <v>4999</v>
      </c>
      <c r="H116">
        <v>9998</v>
      </c>
    </row>
    <row r="117" spans="1:8" x14ac:dyDescent="0.3">
      <c r="A117">
        <v>117</v>
      </c>
      <c r="B117" s="1">
        <v>45883</v>
      </c>
      <c r="C117" t="s">
        <v>8</v>
      </c>
      <c r="D117" t="s">
        <v>9</v>
      </c>
      <c r="E117" t="s">
        <v>13</v>
      </c>
      <c r="F117">
        <v>4</v>
      </c>
      <c r="G117">
        <v>999</v>
      </c>
      <c r="H117">
        <v>3996</v>
      </c>
    </row>
    <row r="118" spans="1:8" x14ac:dyDescent="0.3">
      <c r="A118">
        <v>175</v>
      </c>
      <c r="B118" s="1">
        <v>45884</v>
      </c>
      <c r="C118" t="s">
        <v>14</v>
      </c>
      <c r="D118" t="s">
        <v>12</v>
      </c>
      <c r="E118" t="s">
        <v>17</v>
      </c>
      <c r="F118">
        <v>7</v>
      </c>
      <c r="G118">
        <v>1499</v>
      </c>
      <c r="H118">
        <v>10493</v>
      </c>
    </row>
    <row r="119" spans="1:8" x14ac:dyDescent="0.3">
      <c r="A119">
        <v>192</v>
      </c>
      <c r="B119" s="1">
        <v>45884</v>
      </c>
      <c r="C119" t="s">
        <v>20</v>
      </c>
      <c r="D119" t="s">
        <v>19</v>
      </c>
      <c r="E119" t="s">
        <v>17</v>
      </c>
      <c r="F119">
        <v>9</v>
      </c>
      <c r="G119">
        <v>4999</v>
      </c>
      <c r="H119">
        <v>44991</v>
      </c>
    </row>
    <row r="120" spans="1:8" x14ac:dyDescent="0.3">
      <c r="A120">
        <v>14</v>
      </c>
      <c r="B120" s="1">
        <v>45890</v>
      </c>
      <c r="C120" t="s">
        <v>16</v>
      </c>
      <c r="D120" t="s">
        <v>12</v>
      </c>
      <c r="E120" t="s">
        <v>17</v>
      </c>
      <c r="F120">
        <v>7</v>
      </c>
      <c r="G120">
        <v>999</v>
      </c>
      <c r="H120">
        <v>6993</v>
      </c>
    </row>
    <row r="121" spans="1:8" x14ac:dyDescent="0.3">
      <c r="A121">
        <v>108</v>
      </c>
      <c r="B121" s="1">
        <v>45891</v>
      </c>
      <c r="C121" t="s">
        <v>20</v>
      </c>
      <c r="D121" t="s">
        <v>19</v>
      </c>
      <c r="E121" t="s">
        <v>15</v>
      </c>
      <c r="F121">
        <v>10</v>
      </c>
      <c r="G121">
        <v>499</v>
      </c>
      <c r="H121">
        <v>4990</v>
      </c>
    </row>
    <row r="122" spans="1:8" x14ac:dyDescent="0.3">
      <c r="A122">
        <v>17</v>
      </c>
      <c r="B122" s="1">
        <v>45894</v>
      </c>
      <c r="C122" t="s">
        <v>14</v>
      </c>
      <c r="D122" t="s">
        <v>12</v>
      </c>
      <c r="E122" t="s">
        <v>15</v>
      </c>
      <c r="F122">
        <v>4</v>
      </c>
      <c r="G122">
        <v>799</v>
      </c>
      <c r="H122">
        <v>3196</v>
      </c>
    </row>
    <row r="123" spans="1:8" x14ac:dyDescent="0.3">
      <c r="A123">
        <v>130</v>
      </c>
      <c r="B123" s="1">
        <v>45894</v>
      </c>
      <c r="C123" t="s">
        <v>16</v>
      </c>
      <c r="D123" t="s">
        <v>12</v>
      </c>
      <c r="E123" t="s">
        <v>10</v>
      </c>
      <c r="F123">
        <v>7</v>
      </c>
      <c r="G123">
        <v>799</v>
      </c>
      <c r="H123">
        <v>5593</v>
      </c>
    </row>
    <row r="124" spans="1:8" x14ac:dyDescent="0.3">
      <c r="A124">
        <v>133</v>
      </c>
      <c r="B124" s="1">
        <v>45898</v>
      </c>
      <c r="C124" t="s">
        <v>20</v>
      </c>
      <c r="D124" t="s">
        <v>19</v>
      </c>
      <c r="E124" t="s">
        <v>13</v>
      </c>
      <c r="F124">
        <v>5</v>
      </c>
      <c r="G124">
        <v>499</v>
      </c>
      <c r="H124">
        <v>2495</v>
      </c>
    </row>
    <row r="125" spans="1:8" x14ac:dyDescent="0.3">
      <c r="A125">
        <v>169</v>
      </c>
      <c r="B125" s="1">
        <v>45898</v>
      </c>
      <c r="C125" t="s">
        <v>16</v>
      </c>
      <c r="D125" t="s">
        <v>12</v>
      </c>
      <c r="E125" t="s">
        <v>15</v>
      </c>
      <c r="F125">
        <v>10</v>
      </c>
      <c r="G125">
        <v>999</v>
      </c>
      <c r="H125">
        <v>9990</v>
      </c>
    </row>
    <row r="126" spans="1:8" x14ac:dyDescent="0.3">
      <c r="A126">
        <v>159</v>
      </c>
      <c r="B126" s="1">
        <v>45900</v>
      </c>
      <c r="C126" t="s">
        <v>18</v>
      </c>
      <c r="D126" t="s">
        <v>19</v>
      </c>
      <c r="E126" t="s">
        <v>17</v>
      </c>
      <c r="F126">
        <v>10</v>
      </c>
      <c r="G126">
        <v>999</v>
      </c>
      <c r="H126">
        <v>9990</v>
      </c>
    </row>
    <row r="127" spans="1:8" x14ac:dyDescent="0.3">
      <c r="A127">
        <v>115</v>
      </c>
      <c r="B127" s="1">
        <v>45901</v>
      </c>
      <c r="C127" t="s">
        <v>14</v>
      </c>
      <c r="D127" t="s">
        <v>12</v>
      </c>
      <c r="E127" t="s">
        <v>15</v>
      </c>
      <c r="F127">
        <v>8</v>
      </c>
      <c r="G127">
        <v>799</v>
      </c>
      <c r="H127">
        <v>6392</v>
      </c>
    </row>
    <row r="128" spans="1:8" x14ac:dyDescent="0.3">
      <c r="A128">
        <v>54</v>
      </c>
      <c r="B128" s="1">
        <v>45904</v>
      </c>
      <c r="C128" t="s">
        <v>11</v>
      </c>
      <c r="D128" t="s">
        <v>12</v>
      </c>
      <c r="E128" t="s">
        <v>10</v>
      </c>
      <c r="F128">
        <v>7</v>
      </c>
      <c r="G128">
        <v>1499</v>
      </c>
      <c r="H128">
        <v>10493</v>
      </c>
    </row>
    <row r="129" spans="1:8" x14ac:dyDescent="0.3">
      <c r="A129">
        <v>163</v>
      </c>
      <c r="B129" s="1">
        <v>45905</v>
      </c>
      <c r="C129" t="s">
        <v>11</v>
      </c>
      <c r="D129" t="s">
        <v>12</v>
      </c>
      <c r="E129" t="s">
        <v>17</v>
      </c>
      <c r="F129">
        <v>4</v>
      </c>
      <c r="G129">
        <v>4999</v>
      </c>
      <c r="H129">
        <v>19996</v>
      </c>
    </row>
    <row r="130" spans="1:8" x14ac:dyDescent="0.3">
      <c r="A130">
        <v>35</v>
      </c>
      <c r="B130" s="1">
        <v>45906</v>
      </c>
      <c r="C130" t="s">
        <v>14</v>
      </c>
      <c r="D130" t="s">
        <v>12</v>
      </c>
      <c r="E130" t="s">
        <v>13</v>
      </c>
      <c r="F130">
        <v>2</v>
      </c>
      <c r="G130">
        <v>499</v>
      </c>
      <c r="H130">
        <v>998</v>
      </c>
    </row>
    <row r="131" spans="1:8" x14ac:dyDescent="0.3">
      <c r="A131">
        <v>126</v>
      </c>
      <c r="B131" s="1">
        <v>45906</v>
      </c>
      <c r="C131" t="s">
        <v>11</v>
      </c>
      <c r="D131" t="s">
        <v>12</v>
      </c>
      <c r="E131" t="s">
        <v>13</v>
      </c>
      <c r="F131">
        <v>5</v>
      </c>
      <c r="G131">
        <v>1499</v>
      </c>
      <c r="H131">
        <v>7495</v>
      </c>
    </row>
    <row r="132" spans="1:8" x14ac:dyDescent="0.3">
      <c r="A132">
        <v>57</v>
      </c>
      <c r="B132" s="1">
        <v>45907</v>
      </c>
      <c r="C132" t="s">
        <v>8</v>
      </c>
      <c r="D132" t="s">
        <v>9</v>
      </c>
      <c r="E132" t="s">
        <v>10</v>
      </c>
      <c r="F132">
        <v>9</v>
      </c>
      <c r="G132">
        <v>4999</v>
      </c>
      <c r="H132">
        <v>44991</v>
      </c>
    </row>
    <row r="133" spans="1:8" x14ac:dyDescent="0.3">
      <c r="A133">
        <v>74</v>
      </c>
      <c r="B133" s="1">
        <v>45908</v>
      </c>
      <c r="C133" t="s">
        <v>11</v>
      </c>
      <c r="D133" t="s">
        <v>12</v>
      </c>
      <c r="E133" t="s">
        <v>17</v>
      </c>
      <c r="F133">
        <v>5</v>
      </c>
      <c r="G133">
        <v>2499</v>
      </c>
      <c r="H133">
        <v>12495</v>
      </c>
    </row>
    <row r="134" spans="1:8" x14ac:dyDescent="0.3">
      <c r="A134">
        <v>168</v>
      </c>
      <c r="B134" s="1">
        <v>45909</v>
      </c>
      <c r="C134" t="s">
        <v>8</v>
      </c>
      <c r="D134" t="s">
        <v>9</v>
      </c>
      <c r="E134" t="s">
        <v>13</v>
      </c>
      <c r="F134">
        <v>3</v>
      </c>
      <c r="G134">
        <v>4999</v>
      </c>
      <c r="H134">
        <v>14997</v>
      </c>
    </row>
    <row r="135" spans="1:8" x14ac:dyDescent="0.3">
      <c r="A135">
        <v>187</v>
      </c>
      <c r="B135" s="1">
        <v>45914</v>
      </c>
      <c r="C135" t="s">
        <v>8</v>
      </c>
      <c r="D135" t="s">
        <v>9</v>
      </c>
      <c r="E135" t="s">
        <v>15</v>
      </c>
      <c r="F135">
        <v>7</v>
      </c>
      <c r="G135">
        <v>999</v>
      </c>
      <c r="H135">
        <v>6993</v>
      </c>
    </row>
    <row r="136" spans="1:8" x14ac:dyDescent="0.3">
      <c r="A136">
        <v>114</v>
      </c>
      <c r="B136" s="1">
        <v>45916</v>
      </c>
      <c r="C136" t="s">
        <v>20</v>
      </c>
      <c r="D136" t="s">
        <v>19</v>
      </c>
      <c r="E136" t="s">
        <v>15</v>
      </c>
      <c r="F136">
        <v>10</v>
      </c>
      <c r="G136">
        <v>4999</v>
      </c>
      <c r="H136">
        <v>49990</v>
      </c>
    </row>
    <row r="137" spans="1:8" x14ac:dyDescent="0.3">
      <c r="A137">
        <v>145</v>
      </c>
      <c r="B137" s="1">
        <v>45917</v>
      </c>
      <c r="C137" t="s">
        <v>8</v>
      </c>
      <c r="D137" t="s">
        <v>9</v>
      </c>
      <c r="E137" t="s">
        <v>17</v>
      </c>
      <c r="F137">
        <v>6</v>
      </c>
      <c r="G137">
        <v>499</v>
      </c>
      <c r="H137">
        <v>2994</v>
      </c>
    </row>
    <row r="138" spans="1:8" x14ac:dyDescent="0.3">
      <c r="A138">
        <v>24</v>
      </c>
      <c r="B138" s="1">
        <v>45918</v>
      </c>
      <c r="C138" t="s">
        <v>18</v>
      </c>
      <c r="D138" t="s">
        <v>19</v>
      </c>
      <c r="E138" t="s">
        <v>15</v>
      </c>
      <c r="F138">
        <v>4</v>
      </c>
      <c r="G138">
        <v>799</v>
      </c>
      <c r="H138">
        <v>3196</v>
      </c>
    </row>
    <row r="139" spans="1:8" x14ac:dyDescent="0.3">
      <c r="A139">
        <v>27</v>
      </c>
      <c r="B139" s="1">
        <v>45928</v>
      </c>
      <c r="C139" t="s">
        <v>20</v>
      </c>
      <c r="D139" t="s">
        <v>19</v>
      </c>
      <c r="E139" t="s">
        <v>17</v>
      </c>
      <c r="F139">
        <v>10</v>
      </c>
      <c r="G139">
        <v>1499</v>
      </c>
      <c r="H139">
        <v>14990</v>
      </c>
    </row>
    <row r="140" spans="1:8" x14ac:dyDescent="0.3">
      <c r="A140">
        <v>37</v>
      </c>
      <c r="B140" s="1">
        <v>45928</v>
      </c>
      <c r="C140" t="s">
        <v>14</v>
      </c>
      <c r="D140" t="s">
        <v>12</v>
      </c>
      <c r="E140" t="s">
        <v>15</v>
      </c>
      <c r="F140">
        <v>3</v>
      </c>
      <c r="G140">
        <v>999</v>
      </c>
      <c r="H140">
        <v>2997</v>
      </c>
    </row>
    <row r="141" spans="1:8" x14ac:dyDescent="0.3">
      <c r="A141">
        <v>113</v>
      </c>
      <c r="B141" s="1">
        <v>45929</v>
      </c>
      <c r="C141" t="s">
        <v>11</v>
      </c>
      <c r="D141" t="s">
        <v>12</v>
      </c>
      <c r="E141" t="s">
        <v>17</v>
      </c>
      <c r="F141">
        <v>8</v>
      </c>
      <c r="G141">
        <v>4999</v>
      </c>
      <c r="H141">
        <v>39992</v>
      </c>
    </row>
    <row r="142" spans="1:8" x14ac:dyDescent="0.3">
      <c r="A142">
        <v>144</v>
      </c>
      <c r="B142" s="1">
        <v>45930</v>
      </c>
      <c r="C142" t="s">
        <v>14</v>
      </c>
      <c r="D142" t="s">
        <v>12</v>
      </c>
      <c r="E142" t="s">
        <v>15</v>
      </c>
      <c r="F142">
        <v>1</v>
      </c>
      <c r="G142">
        <v>999</v>
      </c>
      <c r="H142">
        <v>999</v>
      </c>
    </row>
    <row r="143" spans="1:8" x14ac:dyDescent="0.3">
      <c r="A143">
        <v>50</v>
      </c>
      <c r="B143" s="1">
        <v>45932</v>
      </c>
      <c r="C143" t="s">
        <v>11</v>
      </c>
      <c r="D143" t="s">
        <v>12</v>
      </c>
      <c r="E143" t="s">
        <v>15</v>
      </c>
      <c r="F143">
        <v>4</v>
      </c>
      <c r="G143">
        <v>799</v>
      </c>
      <c r="H143">
        <v>3196</v>
      </c>
    </row>
    <row r="144" spans="1:8" x14ac:dyDescent="0.3">
      <c r="A144">
        <v>32</v>
      </c>
      <c r="B144" s="1">
        <v>45934</v>
      </c>
      <c r="C144" t="s">
        <v>11</v>
      </c>
      <c r="D144" t="s">
        <v>12</v>
      </c>
      <c r="E144" t="s">
        <v>13</v>
      </c>
      <c r="F144">
        <v>6</v>
      </c>
      <c r="G144">
        <v>799</v>
      </c>
      <c r="H144">
        <v>4794</v>
      </c>
    </row>
    <row r="145" spans="1:8" x14ac:dyDescent="0.3">
      <c r="A145">
        <v>52</v>
      </c>
      <c r="B145" s="1">
        <v>45939</v>
      </c>
      <c r="C145" t="s">
        <v>11</v>
      </c>
      <c r="D145" t="s">
        <v>12</v>
      </c>
      <c r="E145" t="s">
        <v>13</v>
      </c>
      <c r="F145">
        <v>2</v>
      </c>
      <c r="G145">
        <v>1499</v>
      </c>
      <c r="H145">
        <v>2998</v>
      </c>
    </row>
    <row r="146" spans="1:8" x14ac:dyDescent="0.3">
      <c r="A146">
        <v>167</v>
      </c>
      <c r="B146" s="1">
        <v>45941</v>
      </c>
      <c r="C146" t="s">
        <v>18</v>
      </c>
      <c r="D146" t="s">
        <v>19</v>
      </c>
      <c r="E146" t="s">
        <v>17</v>
      </c>
      <c r="F146">
        <v>1</v>
      </c>
      <c r="G146">
        <v>499</v>
      </c>
      <c r="H146">
        <v>499</v>
      </c>
    </row>
    <row r="147" spans="1:8" x14ac:dyDescent="0.3">
      <c r="A147">
        <v>82</v>
      </c>
      <c r="B147" s="1">
        <v>45944</v>
      </c>
      <c r="C147" t="s">
        <v>8</v>
      </c>
      <c r="D147" t="s">
        <v>9</v>
      </c>
      <c r="E147" t="s">
        <v>15</v>
      </c>
      <c r="F147">
        <v>2</v>
      </c>
      <c r="G147">
        <v>999</v>
      </c>
      <c r="H147">
        <v>1998</v>
      </c>
    </row>
    <row r="148" spans="1:8" x14ac:dyDescent="0.3">
      <c r="A148">
        <v>20</v>
      </c>
      <c r="B148" s="1">
        <v>45948</v>
      </c>
      <c r="C148" t="s">
        <v>18</v>
      </c>
      <c r="D148" t="s">
        <v>19</v>
      </c>
      <c r="E148" t="s">
        <v>17</v>
      </c>
      <c r="F148">
        <v>2</v>
      </c>
      <c r="G148">
        <v>799</v>
      </c>
      <c r="H148">
        <v>1598</v>
      </c>
    </row>
    <row r="149" spans="1:8" x14ac:dyDescent="0.3">
      <c r="A149">
        <v>176</v>
      </c>
      <c r="B149" s="1">
        <v>45949</v>
      </c>
      <c r="C149" t="s">
        <v>14</v>
      </c>
      <c r="D149" t="s">
        <v>12</v>
      </c>
      <c r="E149" t="s">
        <v>13</v>
      </c>
      <c r="F149">
        <v>7</v>
      </c>
      <c r="G149">
        <v>999</v>
      </c>
      <c r="H149">
        <v>6993</v>
      </c>
    </row>
    <row r="150" spans="1:8" x14ac:dyDescent="0.3">
      <c r="A150">
        <v>185</v>
      </c>
      <c r="B150" s="1">
        <v>45949</v>
      </c>
      <c r="C150" t="s">
        <v>18</v>
      </c>
      <c r="D150" t="s">
        <v>19</v>
      </c>
      <c r="E150" t="s">
        <v>17</v>
      </c>
      <c r="F150">
        <v>10</v>
      </c>
      <c r="G150">
        <v>4999</v>
      </c>
      <c r="H150">
        <v>49990</v>
      </c>
    </row>
    <row r="151" spans="1:8" x14ac:dyDescent="0.3">
      <c r="A151">
        <v>45</v>
      </c>
      <c r="B151" s="1">
        <v>45950</v>
      </c>
      <c r="C151" t="s">
        <v>11</v>
      </c>
      <c r="D151" t="s">
        <v>12</v>
      </c>
      <c r="E151" t="s">
        <v>15</v>
      </c>
      <c r="F151">
        <v>9</v>
      </c>
      <c r="G151">
        <v>799</v>
      </c>
      <c r="H151">
        <v>7191</v>
      </c>
    </row>
    <row r="152" spans="1:8" x14ac:dyDescent="0.3">
      <c r="A152">
        <v>190</v>
      </c>
      <c r="B152" s="1">
        <v>45952</v>
      </c>
      <c r="C152" t="s">
        <v>16</v>
      </c>
      <c r="D152" t="s">
        <v>12</v>
      </c>
      <c r="E152" t="s">
        <v>13</v>
      </c>
      <c r="F152">
        <v>4</v>
      </c>
      <c r="G152">
        <v>4999</v>
      </c>
      <c r="H152">
        <v>19996</v>
      </c>
    </row>
    <row r="153" spans="1:8" x14ac:dyDescent="0.3">
      <c r="A153">
        <v>140</v>
      </c>
      <c r="B153" s="1">
        <v>45954</v>
      </c>
      <c r="C153" t="s">
        <v>11</v>
      </c>
      <c r="D153" t="s">
        <v>12</v>
      </c>
      <c r="E153" t="s">
        <v>13</v>
      </c>
      <c r="F153">
        <v>5</v>
      </c>
      <c r="G153">
        <v>499</v>
      </c>
      <c r="H153">
        <v>2495</v>
      </c>
    </row>
    <row r="154" spans="1:8" x14ac:dyDescent="0.3">
      <c r="A154">
        <v>23</v>
      </c>
      <c r="B154" s="1">
        <v>45956</v>
      </c>
      <c r="C154" t="s">
        <v>8</v>
      </c>
      <c r="D154" t="s">
        <v>9</v>
      </c>
      <c r="E154" t="s">
        <v>15</v>
      </c>
      <c r="F154">
        <v>10</v>
      </c>
      <c r="G154">
        <v>1499</v>
      </c>
      <c r="H154">
        <v>14990</v>
      </c>
    </row>
    <row r="155" spans="1:8" x14ac:dyDescent="0.3">
      <c r="A155">
        <v>79</v>
      </c>
      <c r="B155" s="1">
        <v>45956</v>
      </c>
      <c r="C155" t="s">
        <v>14</v>
      </c>
      <c r="D155" t="s">
        <v>12</v>
      </c>
      <c r="E155" t="s">
        <v>10</v>
      </c>
      <c r="F155">
        <v>1</v>
      </c>
      <c r="G155">
        <v>999</v>
      </c>
      <c r="H155">
        <v>999</v>
      </c>
    </row>
    <row r="156" spans="1:8" x14ac:dyDescent="0.3">
      <c r="A156">
        <v>142</v>
      </c>
      <c r="B156" s="1">
        <v>45961</v>
      </c>
      <c r="C156" t="s">
        <v>8</v>
      </c>
      <c r="D156" t="s">
        <v>9</v>
      </c>
      <c r="E156" t="s">
        <v>10</v>
      </c>
      <c r="F156">
        <v>4</v>
      </c>
      <c r="G156">
        <v>499</v>
      </c>
      <c r="H156">
        <v>1996</v>
      </c>
    </row>
    <row r="157" spans="1:8" x14ac:dyDescent="0.3">
      <c r="A157">
        <v>149</v>
      </c>
      <c r="B157" s="1">
        <v>45961</v>
      </c>
      <c r="C157" t="s">
        <v>20</v>
      </c>
      <c r="D157" t="s">
        <v>19</v>
      </c>
      <c r="E157" t="s">
        <v>17</v>
      </c>
      <c r="F157">
        <v>7</v>
      </c>
      <c r="G157">
        <v>4999</v>
      </c>
      <c r="H157">
        <v>34993</v>
      </c>
    </row>
    <row r="158" spans="1:8" x14ac:dyDescent="0.3">
      <c r="A158">
        <v>164</v>
      </c>
      <c r="B158" s="1">
        <v>45963</v>
      </c>
      <c r="C158" t="s">
        <v>8</v>
      </c>
      <c r="D158" t="s">
        <v>9</v>
      </c>
      <c r="E158" t="s">
        <v>17</v>
      </c>
      <c r="F158">
        <v>10</v>
      </c>
      <c r="G158">
        <v>2499</v>
      </c>
      <c r="H158">
        <v>24990</v>
      </c>
    </row>
    <row r="159" spans="1:8" x14ac:dyDescent="0.3">
      <c r="A159">
        <v>143</v>
      </c>
      <c r="B159" s="1">
        <v>45965</v>
      </c>
      <c r="C159" t="s">
        <v>16</v>
      </c>
      <c r="D159" t="s">
        <v>12</v>
      </c>
      <c r="E159" t="s">
        <v>13</v>
      </c>
      <c r="F159">
        <v>5</v>
      </c>
      <c r="G159">
        <v>4999</v>
      </c>
      <c r="H159">
        <v>24995</v>
      </c>
    </row>
    <row r="160" spans="1:8" x14ac:dyDescent="0.3">
      <c r="A160">
        <v>4</v>
      </c>
      <c r="B160" s="1">
        <v>45966</v>
      </c>
      <c r="C160" t="s">
        <v>11</v>
      </c>
      <c r="D160" t="s">
        <v>12</v>
      </c>
      <c r="E160" t="s">
        <v>13</v>
      </c>
      <c r="F160">
        <v>4</v>
      </c>
      <c r="G160">
        <v>2499</v>
      </c>
      <c r="H160">
        <v>9996</v>
      </c>
    </row>
    <row r="161" spans="1:8" x14ac:dyDescent="0.3">
      <c r="A161">
        <v>9</v>
      </c>
      <c r="B161" s="1">
        <v>45967</v>
      </c>
      <c r="C161" t="s">
        <v>16</v>
      </c>
      <c r="D161" t="s">
        <v>12</v>
      </c>
      <c r="E161" t="s">
        <v>17</v>
      </c>
      <c r="F161">
        <v>6</v>
      </c>
      <c r="G161">
        <v>999</v>
      </c>
      <c r="H161">
        <v>5994</v>
      </c>
    </row>
    <row r="162" spans="1:8" x14ac:dyDescent="0.3">
      <c r="A162">
        <v>102</v>
      </c>
      <c r="B162" s="1">
        <v>45968</v>
      </c>
      <c r="C162" t="s">
        <v>11</v>
      </c>
      <c r="D162" t="s">
        <v>12</v>
      </c>
      <c r="E162" t="s">
        <v>17</v>
      </c>
      <c r="F162">
        <v>7</v>
      </c>
      <c r="G162">
        <v>2499</v>
      </c>
      <c r="H162">
        <v>17493</v>
      </c>
    </row>
    <row r="163" spans="1:8" x14ac:dyDescent="0.3">
      <c r="A163">
        <v>139</v>
      </c>
      <c r="B163" s="1">
        <v>45968</v>
      </c>
      <c r="C163" t="s">
        <v>18</v>
      </c>
      <c r="D163" t="s">
        <v>19</v>
      </c>
      <c r="E163" t="s">
        <v>13</v>
      </c>
      <c r="F163">
        <v>3</v>
      </c>
      <c r="G163">
        <v>2499</v>
      </c>
      <c r="H163">
        <v>7497</v>
      </c>
    </row>
    <row r="164" spans="1:8" x14ac:dyDescent="0.3">
      <c r="A164">
        <v>151</v>
      </c>
      <c r="B164" s="1">
        <v>45970</v>
      </c>
      <c r="C164" t="s">
        <v>11</v>
      </c>
      <c r="D164" t="s">
        <v>12</v>
      </c>
      <c r="E164" t="s">
        <v>15</v>
      </c>
      <c r="F164">
        <v>8</v>
      </c>
      <c r="G164">
        <v>2499</v>
      </c>
      <c r="H164">
        <v>19992</v>
      </c>
    </row>
    <row r="165" spans="1:8" x14ac:dyDescent="0.3">
      <c r="A165">
        <v>136</v>
      </c>
      <c r="B165" s="1">
        <v>45976</v>
      </c>
      <c r="C165" t="s">
        <v>11</v>
      </c>
      <c r="D165" t="s">
        <v>12</v>
      </c>
      <c r="E165" t="s">
        <v>10</v>
      </c>
      <c r="F165">
        <v>4</v>
      </c>
      <c r="G165">
        <v>499</v>
      </c>
      <c r="H165">
        <v>1996</v>
      </c>
    </row>
    <row r="166" spans="1:8" x14ac:dyDescent="0.3">
      <c r="A166">
        <v>200</v>
      </c>
      <c r="B166" s="1">
        <v>45976</v>
      </c>
      <c r="C166" t="s">
        <v>11</v>
      </c>
      <c r="D166" t="s">
        <v>12</v>
      </c>
      <c r="E166" t="s">
        <v>15</v>
      </c>
      <c r="F166">
        <v>9</v>
      </c>
      <c r="G166">
        <v>999</v>
      </c>
      <c r="H166">
        <v>8991</v>
      </c>
    </row>
    <row r="167" spans="1:8" x14ac:dyDescent="0.3">
      <c r="A167">
        <v>177</v>
      </c>
      <c r="B167" s="1">
        <v>45978</v>
      </c>
      <c r="C167" t="s">
        <v>14</v>
      </c>
      <c r="D167" t="s">
        <v>12</v>
      </c>
      <c r="E167" t="s">
        <v>10</v>
      </c>
      <c r="F167">
        <v>2</v>
      </c>
      <c r="G167">
        <v>799</v>
      </c>
      <c r="H167">
        <v>1598</v>
      </c>
    </row>
    <row r="168" spans="1:8" x14ac:dyDescent="0.3">
      <c r="A168">
        <v>182</v>
      </c>
      <c r="B168" s="1">
        <v>45978</v>
      </c>
      <c r="C168" t="s">
        <v>16</v>
      </c>
      <c r="D168" t="s">
        <v>12</v>
      </c>
      <c r="E168" t="s">
        <v>10</v>
      </c>
      <c r="F168">
        <v>4</v>
      </c>
      <c r="G168">
        <v>999</v>
      </c>
      <c r="H168">
        <v>3996</v>
      </c>
    </row>
    <row r="169" spans="1:8" x14ac:dyDescent="0.3">
      <c r="A169">
        <v>11</v>
      </c>
      <c r="B169" s="1">
        <v>45979</v>
      </c>
      <c r="C169" t="s">
        <v>16</v>
      </c>
      <c r="D169" t="s">
        <v>12</v>
      </c>
      <c r="E169" t="s">
        <v>17</v>
      </c>
      <c r="F169">
        <v>9</v>
      </c>
      <c r="G169">
        <v>999</v>
      </c>
      <c r="H169">
        <v>8991</v>
      </c>
    </row>
    <row r="170" spans="1:8" x14ac:dyDescent="0.3">
      <c r="A170">
        <v>105</v>
      </c>
      <c r="B170" s="1">
        <v>45982</v>
      </c>
      <c r="C170" t="s">
        <v>18</v>
      </c>
      <c r="D170" t="s">
        <v>19</v>
      </c>
      <c r="E170" t="s">
        <v>17</v>
      </c>
      <c r="F170">
        <v>9</v>
      </c>
      <c r="G170">
        <v>4999</v>
      </c>
      <c r="H170">
        <v>44991</v>
      </c>
    </row>
    <row r="171" spans="1:8" x14ac:dyDescent="0.3">
      <c r="A171">
        <v>16</v>
      </c>
      <c r="B171" s="1">
        <v>45983</v>
      </c>
      <c r="C171" t="s">
        <v>8</v>
      </c>
      <c r="D171" t="s">
        <v>9</v>
      </c>
      <c r="E171" t="s">
        <v>10</v>
      </c>
      <c r="F171">
        <v>2</v>
      </c>
      <c r="G171">
        <v>2499</v>
      </c>
      <c r="H171">
        <v>4998</v>
      </c>
    </row>
    <row r="172" spans="1:8" x14ac:dyDescent="0.3">
      <c r="A172">
        <v>193</v>
      </c>
      <c r="B172" s="1">
        <v>45983</v>
      </c>
      <c r="C172" t="s">
        <v>11</v>
      </c>
      <c r="D172" t="s">
        <v>12</v>
      </c>
      <c r="E172" t="s">
        <v>15</v>
      </c>
      <c r="F172">
        <v>10</v>
      </c>
      <c r="G172">
        <v>1499</v>
      </c>
      <c r="H172">
        <v>14990</v>
      </c>
    </row>
    <row r="173" spans="1:8" x14ac:dyDescent="0.3">
      <c r="A173">
        <v>89</v>
      </c>
      <c r="B173" s="1">
        <v>45986</v>
      </c>
      <c r="C173" t="s">
        <v>16</v>
      </c>
      <c r="D173" t="s">
        <v>12</v>
      </c>
      <c r="E173" t="s">
        <v>15</v>
      </c>
      <c r="F173">
        <v>5</v>
      </c>
      <c r="G173">
        <v>999</v>
      </c>
      <c r="H173">
        <v>4995</v>
      </c>
    </row>
    <row r="174" spans="1:8" x14ac:dyDescent="0.3">
      <c r="A174">
        <v>21</v>
      </c>
      <c r="B174" s="1">
        <v>45987</v>
      </c>
      <c r="C174" t="s">
        <v>11</v>
      </c>
      <c r="D174" t="s">
        <v>12</v>
      </c>
      <c r="E174" t="s">
        <v>15</v>
      </c>
      <c r="F174">
        <v>8</v>
      </c>
      <c r="G174">
        <v>1499</v>
      </c>
      <c r="H174">
        <v>11992</v>
      </c>
    </row>
    <row r="175" spans="1:8" x14ac:dyDescent="0.3">
      <c r="A175">
        <v>5</v>
      </c>
      <c r="B175" s="1">
        <v>45990</v>
      </c>
      <c r="C175" t="s">
        <v>14</v>
      </c>
      <c r="D175" t="s">
        <v>12</v>
      </c>
      <c r="E175" t="s">
        <v>15</v>
      </c>
      <c r="F175">
        <v>4</v>
      </c>
      <c r="G175">
        <v>4999</v>
      </c>
      <c r="H175">
        <v>19996</v>
      </c>
    </row>
    <row r="176" spans="1:8" x14ac:dyDescent="0.3">
      <c r="A176">
        <v>48</v>
      </c>
      <c r="B176" s="1">
        <v>45992</v>
      </c>
      <c r="C176" t="s">
        <v>20</v>
      </c>
      <c r="D176" t="s">
        <v>19</v>
      </c>
      <c r="E176" t="s">
        <v>13</v>
      </c>
      <c r="F176">
        <v>1</v>
      </c>
      <c r="G176">
        <v>4999</v>
      </c>
      <c r="H176">
        <v>4999</v>
      </c>
    </row>
    <row r="177" spans="1:8" x14ac:dyDescent="0.3">
      <c r="A177">
        <v>70</v>
      </c>
      <c r="B177" s="1">
        <v>45992</v>
      </c>
      <c r="C177" t="s">
        <v>14</v>
      </c>
      <c r="D177" t="s">
        <v>12</v>
      </c>
      <c r="E177" t="s">
        <v>13</v>
      </c>
      <c r="F177">
        <v>5</v>
      </c>
      <c r="G177">
        <v>2499</v>
      </c>
      <c r="H177">
        <v>12495</v>
      </c>
    </row>
    <row r="178" spans="1:8" x14ac:dyDescent="0.3">
      <c r="A178">
        <v>63</v>
      </c>
      <c r="B178" s="1">
        <v>45994</v>
      </c>
      <c r="C178" t="s">
        <v>14</v>
      </c>
      <c r="D178" t="s">
        <v>12</v>
      </c>
      <c r="E178" t="s">
        <v>17</v>
      </c>
      <c r="F178">
        <v>2</v>
      </c>
      <c r="G178">
        <v>1499</v>
      </c>
      <c r="H178">
        <v>2998</v>
      </c>
    </row>
    <row r="179" spans="1:8" x14ac:dyDescent="0.3">
      <c r="A179">
        <v>36</v>
      </c>
      <c r="B179" s="1">
        <v>45995</v>
      </c>
      <c r="C179" t="s">
        <v>14</v>
      </c>
      <c r="D179" t="s">
        <v>12</v>
      </c>
      <c r="E179" t="s">
        <v>15</v>
      </c>
      <c r="F179">
        <v>3</v>
      </c>
      <c r="G179">
        <v>799</v>
      </c>
      <c r="H179">
        <v>2397</v>
      </c>
    </row>
    <row r="180" spans="1:8" x14ac:dyDescent="0.3">
      <c r="A180">
        <v>71</v>
      </c>
      <c r="B180" s="1">
        <v>45997</v>
      </c>
      <c r="C180" t="s">
        <v>8</v>
      </c>
      <c r="D180" t="s">
        <v>9</v>
      </c>
      <c r="E180" t="s">
        <v>13</v>
      </c>
      <c r="F180">
        <v>9</v>
      </c>
      <c r="G180">
        <v>999</v>
      </c>
      <c r="H180">
        <v>8991</v>
      </c>
    </row>
    <row r="181" spans="1:8" x14ac:dyDescent="0.3">
      <c r="A181">
        <v>129</v>
      </c>
      <c r="B181" s="1">
        <v>45997</v>
      </c>
      <c r="C181" t="s">
        <v>20</v>
      </c>
      <c r="D181" t="s">
        <v>19</v>
      </c>
      <c r="E181" t="s">
        <v>13</v>
      </c>
      <c r="F181">
        <v>10</v>
      </c>
      <c r="G181">
        <v>2499</v>
      </c>
      <c r="H181">
        <v>24990</v>
      </c>
    </row>
    <row r="182" spans="1:8" x14ac:dyDescent="0.3">
      <c r="A182">
        <v>196</v>
      </c>
      <c r="B182" s="1">
        <v>45997</v>
      </c>
      <c r="C182" t="s">
        <v>8</v>
      </c>
      <c r="D182" t="s">
        <v>9</v>
      </c>
      <c r="E182" t="s">
        <v>15</v>
      </c>
      <c r="F182">
        <v>8</v>
      </c>
      <c r="G182">
        <v>999</v>
      </c>
      <c r="H182">
        <v>7992</v>
      </c>
    </row>
    <row r="183" spans="1:8" x14ac:dyDescent="0.3">
      <c r="A183">
        <v>96</v>
      </c>
      <c r="B183" s="1">
        <v>45998</v>
      </c>
      <c r="C183" t="s">
        <v>18</v>
      </c>
      <c r="D183" t="s">
        <v>19</v>
      </c>
      <c r="E183" t="s">
        <v>17</v>
      </c>
      <c r="F183">
        <v>7</v>
      </c>
      <c r="G183">
        <v>499</v>
      </c>
      <c r="H183">
        <v>3493</v>
      </c>
    </row>
    <row r="184" spans="1:8" x14ac:dyDescent="0.3">
      <c r="A184">
        <v>44</v>
      </c>
      <c r="B184" s="1">
        <v>46000</v>
      </c>
      <c r="C184" t="s">
        <v>14</v>
      </c>
      <c r="D184" t="s">
        <v>12</v>
      </c>
      <c r="E184" t="s">
        <v>15</v>
      </c>
      <c r="F184">
        <v>4</v>
      </c>
      <c r="G184">
        <v>999</v>
      </c>
      <c r="H184">
        <v>3996</v>
      </c>
    </row>
    <row r="185" spans="1:8" x14ac:dyDescent="0.3">
      <c r="A185">
        <v>137</v>
      </c>
      <c r="B185" s="1">
        <v>46000</v>
      </c>
      <c r="C185" t="s">
        <v>11</v>
      </c>
      <c r="D185" t="s">
        <v>12</v>
      </c>
      <c r="E185" t="s">
        <v>13</v>
      </c>
      <c r="F185">
        <v>3</v>
      </c>
      <c r="G185">
        <v>1499</v>
      </c>
      <c r="H185">
        <v>4497</v>
      </c>
    </row>
    <row r="186" spans="1:8" x14ac:dyDescent="0.3">
      <c r="A186">
        <v>39</v>
      </c>
      <c r="B186" s="1">
        <v>46001</v>
      </c>
      <c r="C186" t="s">
        <v>8</v>
      </c>
      <c r="D186" t="s">
        <v>9</v>
      </c>
      <c r="E186" t="s">
        <v>17</v>
      </c>
      <c r="F186">
        <v>5</v>
      </c>
      <c r="G186">
        <v>1499</v>
      </c>
      <c r="H186">
        <v>7495</v>
      </c>
    </row>
    <row r="187" spans="1:8" x14ac:dyDescent="0.3">
      <c r="A187">
        <v>65</v>
      </c>
      <c r="B187" s="1">
        <v>46001</v>
      </c>
      <c r="C187" t="s">
        <v>18</v>
      </c>
      <c r="D187" t="s">
        <v>19</v>
      </c>
      <c r="E187" t="s">
        <v>17</v>
      </c>
      <c r="F187">
        <v>7</v>
      </c>
      <c r="G187">
        <v>799</v>
      </c>
      <c r="H187">
        <v>5593</v>
      </c>
    </row>
    <row r="188" spans="1:8" x14ac:dyDescent="0.3">
      <c r="A188">
        <v>103</v>
      </c>
      <c r="B188" s="1">
        <v>46003</v>
      </c>
      <c r="C188" t="s">
        <v>20</v>
      </c>
      <c r="D188" t="s">
        <v>19</v>
      </c>
      <c r="E188" t="s">
        <v>10</v>
      </c>
      <c r="F188">
        <v>8</v>
      </c>
      <c r="G188">
        <v>1499</v>
      </c>
      <c r="H188">
        <v>11992</v>
      </c>
    </row>
    <row r="189" spans="1:8" x14ac:dyDescent="0.3">
      <c r="A189">
        <v>127</v>
      </c>
      <c r="B189" s="1">
        <v>46005</v>
      </c>
      <c r="C189" t="s">
        <v>20</v>
      </c>
      <c r="D189" t="s">
        <v>19</v>
      </c>
      <c r="E189" t="s">
        <v>15</v>
      </c>
      <c r="F189">
        <v>6</v>
      </c>
      <c r="G189">
        <v>4999</v>
      </c>
      <c r="H189">
        <v>29994</v>
      </c>
    </row>
    <row r="190" spans="1:8" x14ac:dyDescent="0.3">
      <c r="A190">
        <v>81</v>
      </c>
      <c r="B190" s="1">
        <v>46007</v>
      </c>
      <c r="C190" t="s">
        <v>16</v>
      </c>
      <c r="D190" t="s">
        <v>12</v>
      </c>
      <c r="E190" t="s">
        <v>10</v>
      </c>
      <c r="F190">
        <v>6</v>
      </c>
      <c r="G190">
        <v>799</v>
      </c>
      <c r="H190">
        <v>4794</v>
      </c>
    </row>
    <row r="191" spans="1:8" x14ac:dyDescent="0.3">
      <c r="A191">
        <v>18</v>
      </c>
      <c r="B191" s="1">
        <v>46008</v>
      </c>
      <c r="C191" t="s">
        <v>18</v>
      </c>
      <c r="D191" t="s">
        <v>19</v>
      </c>
      <c r="E191" t="s">
        <v>17</v>
      </c>
      <c r="F191">
        <v>9</v>
      </c>
      <c r="G191">
        <v>799</v>
      </c>
      <c r="H191">
        <v>7191</v>
      </c>
    </row>
    <row r="192" spans="1:8" x14ac:dyDescent="0.3">
      <c r="A192">
        <v>95</v>
      </c>
      <c r="B192" s="1">
        <v>46009</v>
      </c>
      <c r="C192" t="s">
        <v>16</v>
      </c>
      <c r="D192" t="s">
        <v>12</v>
      </c>
      <c r="E192" t="s">
        <v>10</v>
      </c>
      <c r="F192">
        <v>9</v>
      </c>
      <c r="G192">
        <v>2499</v>
      </c>
      <c r="H192">
        <v>22491</v>
      </c>
    </row>
    <row r="193" spans="1:8" x14ac:dyDescent="0.3">
      <c r="A193">
        <v>172</v>
      </c>
      <c r="B193" s="1">
        <v>46009</v>
      </c>
      <c r="C193" t="s">
        <v>16</v>
      </c>
      <c r="D193" t="s">
        <v>12</v>
      </c>
      <c r="E193" t="s">
        <v>13</v>
      </c>
      <c r="F193">
        <v>10</v>
      </c>
      <c r="G193">
        <v>4999</v>
      </c>
      <c r="H193">
        <v>49990</v>
      </c>
    </row>
    <row r="194" spans="1:8" x14ac:dyDescent="0.3">
      <c r="A194">
        <v>186</v>
      </c>
      <c r="B194" s="1">
        <v>46010</v>
      </c>
      <c r="C194" t="s">
        <v>20</v>
      </c>
      <c r="D194" t="s">
        <v>19</v>
      </c>
      <c r="E194" t="s">
        <v>17</v>
      </c>
      <c r="F194">
        <v>2</v>
      </c>
      <c r="G194">
        <v>1499</v>
      </c>
      <c r="H194">
        <v>2998</v>
      </c>
    </row>
    <row r="195" spans="1:8" x14ac:dyDescent="0.3">
      <c r="A195">
        <v>38</v>
      </c>
      <c r="B195" s="1">
        <v>46011</v>
      </c>
      <c r="C195" t="s">
        <v>11</v>
      </c>
      <c r="D195" t="s">
        <v>12</v>
      </c>
      <c r="E195" t="s">
        <v>10</v>
      </c>
      <c r="F195">
        <v>9</v>
      </c>
      <c r="G195">
        <v>4999</v>
      </c>
      <c r="H195">
        <v>44991</v>
      </c>
    </row>
    <row r="196" spans="1:8" x14ac:dyDescent="0.3">
      <c r="A196">
        <v>156</v>
      </c>
      <c r="B196" s="1">
        <v>46011</v>
      </c>
      <c r="C196" t="s">
        <v>20</v>
      </c>
      <c r="D196" t="s">
        <v>19</v>
      </c>
      <c r="E196" t="s">
        <v>15</v>
      </c>
      <c r="F196">
        <v>9</v>
      </c>
      <c r="G196">
        <v>799</v>
      </c>
      <c r="H196">
        <v>7191</v>
      </c>
    </row>
    <row r="197" spans="1:8" x14ac:dyDescent="0.3">
      <c r="A197">
        <v>158</v>
      </c>
      <c r="B197" s="1">
        <v>46012</v>
      </c>
      <c r="C197" t="s">
        <v>18</v>
      </c>
      <c r="D197" t="s">
        <v>19</v>
      </c>
      <c r="E197" t="s">
        <v>10</v>
      </c>
      <c r="F197">
        <v>4</v>
      </c>
      <c r="G197">
        <v>1499</v>
      </c>
      <c r="H197">
        <v>5996</v>
      </c>
    </row>
    <row r="198" spans="1:8" x14ac:dyDescent="0.3">
      <c r="A198">
        <v>109</v>
      </c>
      <c r="B198" s="1">
        <v>46014</v>
      </c>
      <c r="C198" t="s">
        <v>8</v>
      </c>
      <c r="D198" t="s">
        <v>9</v>
      </c>
      <c r="E198" t="s">
        <v>15</v>
      </c>
      <c r="F198">
        <v>10</v>
      </c>
      <c r="G198">
        <v>799</v>
      </c>
      <c r="H198">
        <v>7990</v>
      </c>
    </row>
    <row r="199" spans="1:8" x14ac:dyDescent="0.3">
      <c r="A199">
        <v>138</v>
      </c>
      <c r="B199" s="1">
        <v>46016</v>
      </c>
      <c r="C199" t="s">
        <v>14</v>
      </c>
      <c r="D199" t="s">
        <v>12</v>
      </c>
      <c r="E199" t="s">
        <v>17</v>
      </c>
      <c r="F199">
        <v>4</v>
      </c>
      <c r="G199">
        <v>1499</v>
      </c>
      <c r="H199">
        <v>5996</v>
      </c>
    </row>
    <row r="200" spans="1:8" x14ac:dyDescent="0.3">
      <c r="A200">
        <v>77</v>
      </c>
      <c r="B200" s="1">
        <v>46019</v>
      </c>
      <c r="C200" t="s">
        <v>11</v>
      </c>
      <c r="D200" t="s">
        <v>12</v>
      </c>
      <c r="E200" t="s">
        <v>15</v>
      </c>
      <c r="F200">
        <v>8</v>
      </c>
      <c r="G200">
        <v>2499</v>
      </c>
      <c r="H200">
        <v>19992</v>
      </c>
    </row>
    <row r="201" spans="1:8" x14ac:dyDescent="0.3">
      <c r="A201">
        <v>166</v>
      </c>
      <c r="B201" s="1">
        <v>46020</v>
      </c>
      <c r="C201" t="s">
        <v>11</v>
      </c>
      <c r="D201" t="s">
        <v>12</v>
      </c>
      <c r="E201" t="s">
        <v>10</v>
      </c>
      <c r="F201">
        <v>5</v>
      </c>
      <c r="G201">
        <v>499</v>
      </c>
      <c r="H201">
        <v>2495</v>
      </c>
    </row>
  </sheetData>
  <pageMargins left="0.7" right="0.7" top="0.75" bottom="0.75" header="0.3" footer="0.3"/>
  <pageSetup orientation="portrait"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abSelected="1" workbookViewId="0">
      <selection activeCell="D16" sqref="D16"/>
    </sheetView>
  </sheetViews>
  <sheetFormatPr defaultRowHeight="14.4" x14ac:dyDescent="0.3"/>
  <cols>
    <col min="1" max="1" width="18.109375" customWidth="1"/>
    <col min="2" max="2" width="14.109375" customWidth="1"/>
  </cols>
  <sheetData>
    <row r="1" spans="1:2" x14ac:dyDescent="0.3">
      <c r="A1" s="2" t="s">
        <v>36</v>
      </c>
    </row>
    <row r="3" spans="1:2" x14ac:dyDescent="0.3">
      <c r="A3" t="s">
        <v>28</v>
      </c>
      <c r="B3" t="s">
        <v>29</v>
      </c>
    </row>
    <row r="4" spans="1:2" x14ac:dyDescent="0.3">
      <c r="A4" t="s">
        <v>30</v>
      </c>
      <c r="B4" t="s">
        <v>34</v>
      </c>
    </row>
    <row r="5" spans="1:2" x14ac:dyDescent="0.3">
      <c r="A5" t="s">
        <v>31</v>
      </c>
      <c r="B5" t="s">
        <v>34</v>
      </c>
    </row>
    <row r="6" spans="1:2" x14ac:dyDescent="0.3">
      <c r="A6" t="s">
        <v>32</v>
      </c>
      <c r="B6" t="s">
        <v>35</v>
      </c>
    </row>
    <row r="7" spans="1:2" x14ac:dyDescent="0.3">
      <c r="A7" t="s">
        <v>33</v>
      </c>
      <c r="B7" t="s">
        <v>34</v>
      </c>
    </row>
    <row r="9" spans="1:2" x14ac:dyDescent="0.3">
      <c r="A9" s="2" t="s">
        <v>37</v>
      </c>
    </row>
    <row r="11" spans="1:2" x14ac:dyDescent="0.3">
      <c r="A11" t="s">
        <v>38</v>
      </c>
      <c r="B11" t="s">
        <v>39</v>
      </c>
    </row>
    <row r="12" spans="1:2" x14ac:dyDescent="0.3">
      <c r="A12" t="s">
        <v>40</v>
      </c>
      <c r="B12">
        <f>SUM(Table2[Sales])</f>
        <v>2162494</v>
      </c>
    </row>
    <row r="13" spans="1:2" x14ac:dyDescent="0.3">
      <c r="A13" t="s">
        <v>41</v>
      </c>
      <c r="B13">
        <f>AVERAGE(Table2[Sales])</f>
        <v>10812.47</v>
      </c>
    </row>
    <row r="14" spans="1:2" x14ac:dyDescent="0.3">
      <c r="A14" t="s">
        <v>42</v>
      </c>
      <c r="B14">
        <f>MAX(Table2[Sales])</f>
        <v>49990</v>
      </c>
    </row>
    <row r="15" spans="1:2" x14ac:dyDescent="0.3">
      <c r="A15" t="s">
        <v>43</v>
      </c>
      <c r="B15">
        <f>MIN(Table2[Sales])</f>
        <v>499</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66"/>
  <sheetViews>
    <sheetView topLeftCell="A63" workbookViewId="0">
      <selection activeCell="I82" sqref="I82"/>
    </sheetView>
  </sheetViews>
  <sheetFormatPr defaultRowHeight="14.4" x14ac:dyDescent="0.3"/>
  <cols>
    <col min="2" max="2" width="12" customWidth="1"/>
    <col min="4" max="4" width="11.109375" customWidth="1"/>
    <col min="6" max="6" width="14.5546875" customWidth="1"/>
    <col min="8" max="8" width="10.88671875" customWidth="1"/>
    <col min="11" max="11" width="12.5546875" bestFit="1" customWidth="1"/>
    <col min="12" max="12" width="11.6640625" bestFit="1" customWidth="1"/>
  </cols>
  <sheetData>
    <row r="1" spans="2:12" ht="15" thickBot="1" x14ac:dyDescent="0.35"/>
    <row r="2" spans="2:12" x14ac:dyDescent="0.3">
      <c r="B2" s="5" t="s">
        <v>22</v>
      </c>
      <c r="D2" s="5" t="s">
        <v>21</v>
      </c>
      <c r="F2" s="5" t="s">
        <v>44</v>
      </c>
      <c r="H2" s="5" t="s">
        <v>46</v>
      </c>
      <c r="K2" s="3" t="s">
        <v>23</v>
      </c>
      <c r="L2" t="s">
        <v>45</v>
      </c>
    </row>
    <row r="3" spans="2:12" ht="15" thickBot="1" x14ac:dyDescent="0.35">
      <c r="B3" s="6">
        <f>SUM(Table2[Sales])</f>
        <v>2162494</v>
      </c>
      <c r="D3" s="6">
        <f>COUNT(Table2[Order_ID])</f>
        <v>200</v>
      </c>
      <c r="F3" s="6">
        <f>QUOTIENT(B3,D3)</f>
        <v>10812</v>
      </c>
      <c r="H3" s="8" t="s">
        <v>11</v>
      </c>
      <c r="K3" s="4" t="s">
        <v>11</v>
      </c>
      <c r="L3" s="7">
        <v>484561</v>
      </c>
    </row>
    <row r="4" spans="2:12" x14ac:dyDescent="0.3">
      <c r="K4" s="4" t="s">
        <v>20</v>
      </c>
      <c r="L4" s="7">
        <v>407299</v>
      </c>
    </row>
    <row r="5" spans="2:12" x14ac:dyDescent="0.3">
      <c r="K5" s="4" t="s">
        <v>18</v>
      </c>
      <c r="L5" s="7">
        <v>364653</v>
      </c>
    </row>
    <row r="6" spans="2:12" x14ac:dyDescent="0.3">
      <c r="K6" s="4" t="s">
        <v>16</v>
      </c>
      <c r="L6" s="7">
        <v>349008</v>
      </c>
    </row>
    <row r="7" spans="2:12" x14ac:dyDescent="0.3">
      <c r="K7" s="4" t="s">
        <v>14</v>
      </c>
      <c r="L7" s="7">
        <v>280151</v>
      </c>
    </row>
    <row r="8" spans="2:12" x14ac:dyDescent="0.3">
      <c r="K8" s="4" t="s">
        <v>8</v>
      </c>
      <c r="L8" s="7">
        <v>276822</v>
      </c>
    </row>
    <row r="9" spans="2:12" x14ac:dyDescent="0.3">
      <c r="K9" s="4" t="s">
        <v>24</v>
      </c>
      <c r="L9" s="7">
        <v>2162494</v>
      </c>
    </row>
    <row r="12" spans="2:12" x14ac:dyDescent="0.3">
      <c r="K12" s="3" t="s">
        <v>23</v>
      </c>
      <c r="L12" t="s">
        <v>45</v>
      </c>
    </row>
    <row r="13" spans="2:12" x14ac:dyDescent="0.3">
      <c r="K13" s="4" t="s">
        <v>47</v>
      </c>
      <c r="L13" s="7">
        <v>97510</v>
      </c>
    </row>
    <row r="14" spans="2:12" x14ac:dyDescent="0.3">
      <c r="K14" s="4" t="s">
        <v>48</v>
      </c>
      <c r="L14" s="7">
        <v>95936</v>
      </c>
    </row>
    <row r="15" spans="2:12" x14ac:dyDescent="0.3">
      <c r="K15" s="4" t="s">
        <v>49</v>
      </c>
      <c r="L15" s="7">
        <v>290585</v>
      </c>
    </row>
    <row r="16" spans="2:12" x14ac:dyDescent="0.3">
      <c r="K16" s="4" t="s">
        <v>50</v>
      </c>
      <c r="L16" s="7">
        <v>80047</v>
      </c>
    </row>
    <row r="17" spans="11:12" x14ac:dyDescent="0.3">
      <c r="K17" s="4" t="s">
        <v>51</v>
      </c>
      <c r="L17" s="7">
        <v>248084</v>
      </c>
    </row>
    <row r="18" spans="11:12" x14ac:dyDescent="0.3">
      <c r="K18" s="4" t="s">
        <v>52</v>
      </c>
      <c r="L18" s="7">
        <v>161809</v>
      </c>
    </row>
    <row r="19" spans="11:12" x14ac:dyDescent="0.3">
      <c r="K19" s="4" t="s">
        <v>53</v>
      </c>
      <c r="L19" s="7">
        <v>115746</v>
      </c>
    </row>
    <row r="20" spans="11:12" x14ac:dyDescent="0.3">
      <c r="K20" s="4" t="s">
        <v>54</v>
      </c>
      <c r="L20" s="7">
        <v>125515</v>
      </c>
    </row>
    <row r="21" spans="11:12" x14ac:dyDescent="0.3">
      <c r="K21" s="4" t="s">
        <v>55</v>
      </c>
      <c r="L21" s="7">
        <v>240008</v>
      </c>
    </row>
    <row r="22" spans="11:12" x14ac:dyDescent="0.3">
      <c r="K22" s="4" t="s">
        <v>56</v>
      </c>
      <c r="L22" s="7">
        <v>154726</v>
      </c>
    </row>
    <row r="23" spans="11:12" x14ac:dyDescent="0.3">
      <c r="K23" s="4" t="s">
        <v>57</v>
      </c>
      <c r="L23" s="7">
        <v>238491</v>
      </c>
    </row>
    <row r="24" spans="11:12" x14ac:dyDescent="0.3">
      <c r="K24" s="4" t="s">
        <v>58</v>
      </c>
      <c r="L24" s="7">
        <v>314037</v>
      </c>
    </row>
    <row r="25" spans="11:12" x14ac:dyDescent="0.3">
      <c r="K25" s="4" t="s">
        <v>24</v>
      </c>
      <c r="L25" s="7">
        <v>2162494</v>
      </c>
    </row>
    <row r="28" spans="11:12" x14ac:dyDescent="0.3">
      <c r="K28" s="3" t="s">
        <v>23</v>
      </c>
      <c r="L28" t="s">
        <v>45</v>
      </c>
    </row>
    <row r="29" spans="11:12" x14ac:dyDescent="0.3">
      <c r="K29" s="4" t="s">
        <v>17</v>
      </c>
      <c r="L29" s="7">
        <v>575939</v>
      </c>
    </row>
    <row r="30" spans="11:12" x14ac:dyDescent="0.3">
      <c r="K30" s="4" t="s">
        <v>13</v>
      </c>
      <c r="L30" s="7">
        <v>555643</v>
      </c>
    </row>
    <row r="31" spans="11:12" x14ac:dyDescent="0.3">
      <c r="K31" s="4" t="s">
        <v>10</v>
      </c>
      <c r="L31" s="7">
        <v>379277</v>
      </c>
    </row>
    <row r="32" spans="11:12" x14ac:dyDescent="0.3">
      <c r="K32" s="4" t="s">
        <v>15</v>
      </c>
      <c r="L32" s="7">
        <v>651635</v>
      </c>
    </row>
    <row r="33" spans="11:12" x14ac:dyDescent="0.3">
      <c r="K33" s="4" t="s">
        <v>24</v>
      </c>
      <c r="L33" s="7">
        <v>2162494</v>
      </c>
    </row>
    <row r="43" spans="11:12" x14ac:dyDescent="0.3">
      <c r="K43" s="3" t="s">
        <v>23</v>
      </c>
      <c r="L43" t="s">
        <v>45</v>
      </c>
    </row>
    <row r="44" spans="11:12" x14ac:dyDescent="0.3">
      <c r="K44" s="4" t="s">
        <v>19</v>
      </c>
      <c r="L44" s="7">
        <v>771952</v>
      </c>
    </row>
    <row r="45" spans="11:12" x14ac:dyDescent="0.3">
      <c r="K45" s="4" t="s">
        <v>12</v>
      </c>
      <c r="L45" s="7">
        <v>1113720</v>
      </c>
    </row>
    <row r="46" spans="11:12" x14ac:dyDescent="0.3">
      <c r="K46" s="4" t="s">
        <v>9</v>
      </c>
      <c r="L46" s="7">
        <v>276822</v>
      </c>
    </row>
    <row r="47" spans="11:12" x14ac:dyDescent="0.3">
      <c r="K47" s="4" t="s">
        <v>24</v>
      </c>
      <c r="L47" s="7">
        <v>2162494</v>
      </c>
    </row>
    <row r="59" spans="11:12" x14ac:dyDescent="0.3">
      <c r="K59" s="3" t="s">
        <v>23</v>
      </c>
      <c r="L59" t="s">
        <v>45</v>
      </c>
    </row>
    <row r="60" spans="11:12" x14ac:dyDescent="0.3">
      <c r="K60" s="4" t="s">
        <v>11</v>
      </c>
      <c r="L60" s="7">
        <v>484561</v>
      </c>
    </row>
    <row r="61" spans="11:12" x14ac:dyDescent="0.3">
      <c r="K61" s="4" t="s">
        <v>18</v>
      </c>
      <c r="L61" s="7">
        <v>364653</v>
      </c>
    </row>
    <row r="62" spans="11:12" x14ac:dyDescent="0.3">
      <c r="K62" s="4" t="s">
        <v>16</v>
      </c>
      <c r="L62" s="7">
        <v>349008</v>
      </c>
    </row>
    <row r="63" spans="11:12" x14ac:dyDescent="0.3">
      <c r="K63" s="4" t="s">
        <v>14</v>
      </c>
      <c r="L63" s="7">
        <v>280151</v>
      </c>
    </row>
    <row r="64" spans="11:12" x14ac:dyDescent="0.3">
      <c r="K64" s="4" t="s">
        <v>20</v>
      </c>
      <c r="L64" s="7">
        <v>407299</v>
      </c>
    </row>
    <row r="65" spans="11:12" x14ac:dyDescent="0.3">
      <c r="K65" s="4" t="s">
        <v>8</v>
      </c>
      <c r="L65" s="7">
        <v>276822</v>
      </c>
    </row>
    <row r="66" spans="11:12" x14ac:dyDescent="0.3">
      <c r="K66" s="4" t="s">
        <v>24</v>
      </c>
      <c r="L66" s="7">
        <v>2162494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Retail_Sales_Dataset</vt:lpstr>
      <vt:lpstr>Data cleaning &amp; sales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SRILU</dc:creator>
  <cp:lastModifiedBy>SRILU</cp:lastModifiedBy>
  <dcterms:created xsi:type="dcterms:W3CDTF">2026-06-05T13:40:26Z</dcterms:created>
  <dcterms:modified xsi:type="dcterms:W3CDTF">2026-06-05T16:24:10Z</dcterms:modified>
</cp:coreProperties>
</file>